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filterPrivacy="1"/>
  <xr:revisionPtr revIDLastSave="219" documentId="11_7104835C8B15E477018AE98AAFFAED8F1AFC71A0" xr6:coauthVersionLast="47" xr6:coauthVersionMax="47" xr10:uidLastSave="{A6FF6301-2DC1-454B-9F10-FA91CC4885CD}"/>
  <bookViews>
    <workbookView xWindow="0" yWindow="0" windowWidth="22260" windowHeight="12645" firstSheet="2" activeTab="2" xr2:uid="{00000000-000D-0000-FFFF-FFFF00000000}"/>
  </bookViews>
  <sheets>
    <sheet name="DPR" sheetId="1" r:id="rId1"/>
    <sheet name="Defect Coverage" sheetId="3" r:id="rId2"/>
    <sheet name="Bug details" sheetId="5" r:id="rId3"/>
    <sheet name="Sheet2" sheetId="2" r:id="rId4"/>
  </sheets>
  <definedNames>
    <definedName name="_xlnm._FilterDatabase" localSheetId="2" hidden="1">'Bug details'!$A$1:$D$45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E17" i="1"/>
  <c r="E16" i="1"/>
  <c r="E15" i="1" l="1"/>
  <c r="E18" i="1"/>
  <c r="E8" i="1" l="1"/>
  <c r="E9" i="1"/>
  <c r="E10" i="1"/>
  <c r="E11" i="1"/>
  <c r="E12" i="1"/>
  <c r="E13" i="1"/>
  <c r="E3" i="1" l="1"/>
  <c r="E4" i="1"/>
  <c r="E5" i="1"/>
  <c r="E6" i="1"/>
  <c r="E7" i="1"/>
  <c r="E2" i="1"/>
  <c r="E19" i="1" s="1"/>
</calcChain>
</file>

<file path=xl/sharedStrings.xml><?xml version="1.0" encoding="utf-8"?>
<sst xmlns="http://schemas.openxmlformats.org/spreadsheetml/2006/main" count="477" uniqueCount="266">
  <si>
    <t>Requirement</t>
  </si>
  <si>
    <t>TC</t>
  </si>
  <si>
    <t>Total Bugs</t>
  </si>
  <si>
    <t>AI-BDD bugs covered</t>
  </si>
  <si>
    <t xml:space="preserve">Defect Prevention Ratio </t>
  </si>
  <si>
    <t>PHrs - Saved</t>
  </si>
  <si>
    <t>Dollars saved</t>
  </si>
  <si>
    <t>Software delivery cost reduction</t>
  </si>
  <si>
    <t>Module</t>
  </si>
  <si>
    <t>Missed Scenario in Requirement and 
Generated By AI Co-pilot</t>
  </si>
  <si>
    <t>650204-1</t>
  </si>
  <si>
    <t>MyBank 9.4.1.0</t>
  </si>
  <si>
    <t>656152-1</t>
  </si>
  <si>
    <t>664167 -1</t>
  </si>
  <si>
    <t>668678 -1</t>
  </si>
  <si>
    <t> </t>
  </si>
  <si>
    <t>670748-1</t>
  </si>
  <si>
    <t>674918-1</t>
  </si>
  <si>
    <t>700356-1</t>
  </si>
  <si>
    <t>MyBank 9.4.2.0</t>
  </si>
  <si>
    <t>700364-1</t>
  </si>
  <si>
    <t>700367-1</t>
  </si>
  <si>
    <t>700369-1</t>
  </si>
  <si>
    <t>700373-1</t>
  </si>
  <si>
    <t>700375-1</t>
  </si>
  <si>
    <t>Beacon FCM 1.1.1.2</t>
  </si>
  <si>
    <t>14 and 1NA</t>
  </si>
  <si>
    <t>AVG</t>
  </si>
  <si>
    <t>Defect ID</t>
  </si>
  <si>
    <t>Updated Requirement</t>
  </si>
  <si>
    <t xml:space="preserve"> Test Case ID</t>
  </si>
  <si>
    <t>RCA of TC missing / DL</t>
  </si>
  <si>
    <t xml:space="preserve"> Test Case Description/inputs</t>
  </si>
  <si>
    <t xml:space="preserve"> Expected Result</t>
  </si>
  <si>
    <t xml:space="preserve"> Root Cause</t>
  </si>
  <si>
    <t>Type(BL,ECP,BVA)</t>
  </si>
  <si>
    <t>User Story 4: Notification for Account Allocation
As a Branch Staff member,
I want to receive notifications when an account is allocated to me,
So that I can stay updated and manage my assigned accounts effectively.
Acceptance Criteria:
Staff members should receive a notification when an account is allocated to them.
Notifications should be delivered via both email and in-app alerts.
The notification should include:
Account Number
Account Holder Name
Allocation Date
Allocating Staff Member (if applicable)
The count of allocated accounts should be displayed correctly and updated in real-time in the "My Accounts" section.</t>
  </si>
  <si>
    <t>FCM-742</t>
  </si>
  <si>
    <t>Gap - Product Knowledge</t>
  </si>
  <si>
    <t>Notification when accounts are allocated</t>
  </si>
  <si>
    <t xml:space="preserve"> count should be visible properly</t>
  </si>
  <si>
    <t>Coding issue UI</t>
  </si>
  <si>
    <t>BL</t>
  </si>
  <si>
    <t>The system must allow successful creation of Core users in the User Management module without throwing any exceptions.</t>
  </si>
  <si>
    <t>FCM-741</t>
  </si>
  <si>
    <t>Gap</t>
  </si>
  <si>
    <t>Missed TC by team</t>
  </si>
  <si>
    <t>Early-stage Defect</t>
  </si>
  <si>
    <t>The system must allow users to update dispositions in the Oracle module without triggering a "Something went wrong" error message.</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</si>
  <si>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t>
  </si>
  <si>
    <t>User Story: 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1. Default View and Display:
On the initial load, the Chart View should be displayed by default.
Both Chart View and Table View must display the main labels: Count/Amount and Count/Percentage.
To view detailed data for Count/Amount or Count/Percentage, users must switch to Table View from Chart View.
2. Filtering and Data Integrity: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3. SMA Status Categorization:
The SMA statuses should be categorized as:
Allocated
Pending
Regularized
Collected (Applicable for Product-Wise View only)
4. Graphs Included:
SMA Regularized: Consolidated View (Count/Percentage)
SMA Regularized: Allocated vs. Regularized (Count/Amount)
Product Wise View of SMA Regularized Accounts (Count/Amount)
5.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t>
  </si>
  <si>
    <t>FCM-744</t>
  </si>
  <si>
    <t>verify count /percentage is showing in  SMA Regularized :consolidated  graph</t>
  </si>
  <si>
    <t>Each row in the amount columns displays data in the "Count/Amount" format.</t>
  </si>
  <si>
    <t>Coding Issue DB</t>
  </si>
  <si>
    <t xml:space="preserve">User Story: 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1. Default View and Display:
On the initial load, the Chart View should be displayed by default.
Both Chart View and Table View must display the main labels: Count/Amount and Count/Percentage.
To view detailed data for Count/Amount or Count/Percentage, users must switch to Table View from Chart View.
2. Filtering and Data Integrity: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3. SMA Status Categorization:
The SMA statuses should be categorized as:
Allocated
Pending
Regularized
Collected (Applicable for Product-Wise View only)
4. Graphs Included:
SMA Regularized: Consolidated View (Count/Percentage)
SMA Regularized: Allocated vs. Regularized (Count/Amount)
Product Wise View of SMA Regularized Accounts (Count/Amount)
5.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
6. Formatting and Currency Display:
Percentage and Amount fields should follow Indian standard format, meaning only two digits should be shown after the decimal point.
In Table View, the Amount should be displayed based on the Currency String Configuration.
7.In Table View Amount is not showing Based on The Currency String Configuration
</t>
  </si>
  <si>
    <t>Verify pending column is  Display in  Product Wise View of SMA Regularized Accounts  graph</t>
  </si>
  <si>
    <t>Pending column should be present in Product Wise View of SMA Regularized Accounts  graph</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</si>
  <si>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</si>
  <si>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
Regularized NPA/SMA Accounts (SQL/ORACLE): The Same Graph Label should be displayed in case of no data found</t>
  </si>
  <si>
    <t>verify count /Amount is showing in  NPA Regularized :Allocated Vs Regularized graph</t>
  </si>
  <si>
    <t>Both Chart View and Table View must display the main labels: Count/Amount and Count/Percentage.</t>
  </si>
  <si>
    <t>Regularized NPA Movement account_x000D_
As a Core application user (HO, ZO, RO, Branch users),_x000D_
I want to view the Regularized NPA Movement data in different breakdowns with count, amount, and percentage details,_x000D_
So that I can analyze the status of allocated, pending, and regularized NPA accounts effectively._x000D_
_x000D_
Acceptance Criteria:_x000D_
On the initial load, the Chart View should be displayed by default._x000D_
Both Chart View and Table View must display the main labels: Count/Amount and Count/Percentage._x000D_
To view detailed data for Count/Amount or Count/Percentage, users must switch to Table View from Chart View._x000D_
Users should be able to apply input filters (e.g., select Month/Year) to refine the data._x000D_
If an account appears under different channels within the same month, its count should be considered only once (no duplication of account count)._x000D_
The Count/Amount and Count/Percentage labels should be displayed when using the Compare With or Group By options._x000D_
The NPA statuses should be categorized as:_x000D_
Allocated_x000D_
Pending_x000D_
Regularized_x000D_
Collected (Applicable for Co-Wise View and Product-Wise View only)_x000D_
Graphs Included:_x000D_
NPA Regularized: Consolidated View (Count/Percentage)_x000D_
Must include allocated, pending, and regularized cases._x000D_
NPA Regularized: Allocated vs. Regularized (Count/Amount)_x000D_
Must include allocated, pending, and regularized cases._x000D_
Co-Wise View of NPA Regularized Accounts (Count/Amount)_x000D_
Must include allocated, pending, regularized, and collected cases._x000D_
Product-Wise View of NPA Regularized Accounts (Count/Amount)_x000D_
Must include allocated, pending, regularized, and collected cases.</t>
  </si>
  <si>
    <t xml:space="preserve">Regularized NPA Movement account
As a Core application user (HO, ZO, RO, Branch users),
I want to view the Regularized NPA Movement data in different breakdowns with count, amount, and percentage details,
So that I can analyze the status of allocated, pending, and regularized NPA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NPA statuses should be categorized as:
Allocated
Pending
Regularized
Collected (Applicable for Co-Wise View and Product-Wise View only)
Graphs Included:
NPA Regularized: Consolidated View (Count/Percentage)
Must include allocated, pending, and regularized cases.
NPA Regularized: Allocated vs. Regularized (Count/Amount)
Must include allocated, pending, and regularized cases.
Co-Wise View of NPA Regularized Accounts (Count/Amount)
Must include allocated, pending, regularized, and collected cases.
Product-Wise View of NPA Regularized Accounts (Count/Amount)
</t>
  </si>
  <si>
    <t>Regularized NPA Movement account
As a Core application user (HO, ZO, RO, Branch users),
I want to view the Regularized NPA Movement data in different breakdowns with count, amount, and percentage details,
So that I can analyze the status of allocated, pending, and regularized NPA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NPA statuses should be categorized as:
Allocated
Pending
Regularized
Collected (Applicable for Co-Wise View and Product-Wise View only)
Graphs Included:
NPA Regularized: Consolidated View (Count/Percentage)
Must include allocated, pending, and regularized cases.
NPA Regularized: Allocated vs. Regularized (Count/Amount)
Must include allocated, pending, and regularized cases.
Co-Wise View of NPA Regularized Accounts (Count/Amount)
Must include allocated, pending, regularized, and collected cases.
Product-Wise View of NPA Regularized Accounts (Count/Amount)
Must include allocated, pending, regularized, and collected cases.</t>
  </si>
  <si>
    <t>verify count /Amount is showing in Co Wise View of NPA Regularized Accounts  graph</t>
  </si>
  <si>
    <t xml:space="preserve">"Forward NPA Movement Accounts
As a Core application user (HO, ZO, RO, Branch users),
I want to view the Forward NPA Movement data in both chart and table formats with count, amount, and percentage details,
So that I can analyze the data effectively using different visualization and filtering options.
Acceptance Criteria:
On the initial load, the Chart View will be displayed by default.
Both Chart View and Table View should display the main labels: Count/Amount and Count/Percentage.
To view detailed data for Count/Amount or Count/Percentage, users must switch to Table View from Chart View.
Users should be able to apply input filters (e.g., select Month/Year) to refine the data.
If an account exists under different channels for the same month, its count should be considered only once (no duplication of account count).
The Count/Amount and Count/Percentage labels should be displayed when using the Compare With or Group By options.
Graphs Included:
Consolidated Forward NPA Movement (Count/Percentage)
Consolidated Forward NPA Movement (Count/Amount)
Forward NPA Movement (Count/Amount)
Product Wise View (Count/Amount)
Additional Validation Points:
Forward NPA Movement - Product Wise Graph: Ensure count/amount checking is properly implemented.
Forward NPA Movement Graph: Verify count/amount checking is correctly applied."
</t>
  </si>
  <si>
    <t xml:space="preserve">"Forward NPA Movement Accounts
As a Core application user (HO, ZO, RO, Branch users),
I want to view the Forward NPA Movement data in both chart and table formats with count, amount, and percentage details,
So that I can analyze the data effectively using different visualization and filtering options.
Acceptance Criteria:
On the initial load, the Chart View will be displayed by default.
Both Chart View and Table View should display the main labels: Count/Amount and Count/Percentage.
To view detailed data for Count/Amount or Count/Percentage, users must switch to Table View from Chart View.
Users should be able to apply input filters (e.g., select Month/Year) to refine the data.
If an account exists under different channels for the same month, its count should be considered only once (no duplication of account count).
The Count/Amount and Count/Percentage labels should be displayed when using the Compare With or Group By options.
Graphs Included:
Consolidated Forward NPA Movement (Count/Percentage)
Consolidated Forward NPA Movement (Count/Amount)
Forward NPA Movement (Count/Amount)
Product Wise View (Count/Amount)
Additional Validation Points:
Forward NPA Movement - Product Wise Graph: Ensure count/amount checking is properly implemented.
Forward NPA Movement Graph: Verify count/amount checking is correctly applied."
The Forward SMA Movement (SQL) graph must display zero values in the Count and Amount sections for categories with no data when a specific Channel (other than 'ALL') is selected.
The Consolidated Forward NPA Movement (Count/Amount - In Lakhs) graph must display zero values for months with no data even when the "Compare With" option is used, without omitting the month or misrepresenting the graph.
</t>
  </si>
  <si>
    <t xml:space="preserve">"Forward NPA Movement Accounts
As a Core application user (HO, ZO, RO, Branch users),
I want to view the Forward NPA Movement data in both chart and table formats with count, amount, and percentage details,
So that I can analyze the data effectively using different visualization and filtering options.
Acceptance Criteria:
On the initial load, the Chart View will be displayed by default.
Both Chart View and Table View should display the main labels: Count/Amount and Count/Percentage.
To view detailed data for Count/Amount or Count/Percentage, users must switch to Table View from Chart View.
Users should be able to apply input filters (e.g., select Month/Year) to refine the data.
If an account exists under different channels for the same month, its count should be considered only once (no duplication of account count).
The Count/Amount and Count/Percentage labels should be displayed when using the Compare With or Group By options.
Graphs Included:
Consolidated Forward NPA Movement (Count/Percentage)
Consolidated Forward NPA Movement (Count/Amount)
Forward NPA Movement (Count/Amount)
Product Wise View (Count/Amount)
Additional Validation Points:
Forward NPA Movement - Product Wise Graph: Ensure count/amount checking is properly implemented.
Forward NPA Movement Graph: Verify count/amount checking is correctly applied."
The Forward SMA Movement (SQL) graph must display zero values in the Count and Amount sections for categories with no data when a specific Channel (other than 'ALL') is selected.
</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</si>
  <si>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
The system must display zero values for Count and Amount in the Forward SMA Movement (SQL) report when there is no data under a specific SMA category and a Channel other than 'ALL' is selected.</t>
  </si>
  <si>
    <t>verify detailed data is showing when switch to table view</t>
  </si>
  <si>
    <t>Count/Amount or Count/Percentage    values should be displayed detail in table view</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</si>
  <si>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
The Table View of the Consolidated Forward SMA/NPA Movement (Count / Amount in Lakhs) graph must display the correct Movement Amounts, consistent with the actual data and graph values.</t>
  </si>
  <si>
    <t>Verify Count/Amount is Display in Consolidated Forward NPA Movement graph</t>
  </si>
  <si>
    <t>Count/Amount column should be present</t>
  </si>
  <si>
    <t xml:space="preserve">The system must use a forward slash (/) instead of a backward slash () to differentiate between Count and Amount in the SQL-based reports </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</si>
  <si>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
The Count section in the Backward SMA Movement (SQL) report must display zero when there is no data under a specific category, rather than omitting it.</t>
  </si>
  <si>
    <t>AI missed scenario</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</si>
  <si>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
The Count section in the Backward SMA Movement (Count / Amount in Lakhs) graph must display zero for categories with no data when a specific channel is selected, instead of hiding them.</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</si>
  <si>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
The Count and Amount sections in the Backward SMA Movement (SQL) report must display zero for categories with no data when the "Compare With" filter is applied, without hiding or omitting them.</t>
  </si>
  <si>
    <t>Regularized SMA Movement accounts
As a Core application user (HO, ZO, RO, Branch users),
I want to view the Regularized SMA Movement data in different breakdowns with count, amount, and percentage details,
So that I can analyze the status of allocated, pending, and regularized SMA accounts effectively.
Acceptance Criteria:
On the initial load, the Chart View should be displayed by default.
Both Chart View and Table View must display the main labels: Count/Amount and Count/Percentage.
To view detailed data for Count/Amount or Count/Percentage, users must switch to Table View from Chart View.
Users should be able to apply input filters (e.g., select Month/Year) to refine the data.
If an account appears under different channels within the same month, its count should be considered only once (no duplication of account count).
The Count/Amount and Count/Percentage labels should be displayed when using the Compare With or Group By options.
The SMA statuses should be categorized as:
Allocated
Pending
Regularized
Collected (Applicable for Product-Wise View only)
Graphs Included:
SMA Regularized: Consolidated View (Count/Percentage)
SMA Regularized: Allocated vs. Regularized (Count/Amount)
Product Wise View of SMA Regularized Accounts (Count/Amount)
Additional Validation Points:
SMA Regularized: Consolidated View – Ensure that Allocated/Pending/Regularized cases are correctly reflected.
SMA Regularized: Allocated vs. Regularized View – Verify that Allocated/Pending/Regularized cases are included.
Product Wise View of SMA Regularized Accounts – Validate that Allocated/Pending/Regularized/Collected cases are properly accounted for.
The Product-wise graph in the Backward SMA Movement (Oracle) report must display all movement categories consistently, showing zero values when there is no data under a category.</t>
  </si>
  <si>
    <t>Verify Count/Percentage is Display in  Consolidated Backward SMA Movement( graph</t>
  </si>
  <si>
    <t>Count/Percentage  column should be present</t>
  </si>
  <si>
    <t>Addition of "Remarks" Column in Follow-Up List Report
As a Core application user,
I want to see an additional "Remarks" column in the Follow-Up List Report,
So that I can view the remarks captured during the disposition update for each account.
Acceptance Criteria:
Addition of "Remarks" Column:
A new column named "Remarks" must be added to the Follow-Up List Report in the Report section.
The "Remarks" column should be placed immediately after the "Sub-Disposition" column.
Data Population in "Remarks" Column:
The remarks should be fetched from the Disposition Updation Page, where users input them.
If no remarks are recorded for a particular account, "NA" should be displayed in the "Remarks" column.
Report Consistency:
The addition of the "Remarks" column should not impact the existing structure or functionality of the Follow-Up List Report.
The data should be properly aligned and formatted for readability.
User Accessibility:
Users should be able to export the Follow-Up List Report with the newly added "Remarks" column.
Additional Considerations:
Ensure that the column does not disrupt existing filters, sorting, or pagination within the report.
Validate that the remarks are correctly mapped from the disposition page to the report.
Conduct UI testing to ensure proper placement and display of the "Remarks" column.</t>
  </si>
  <si>
    <t>Addition of "Remarks" Column in Follow-Up List Report
As a Core application user,
I want to see an additional "Remarks" column in the Follow-Up List Report,
So that I can view the remarks captured during the disposition update for each account.
Acceptance Criteria:
Addition of "Remarks" Column:
A new column named "Remarks" must be added to the Follow-Up List Report in the Report section.
The "Remarks" column should be placed immediately after the "Sub-Disposition" column.
Data Population in "Remarks" Column:
The remarks should be fetched from the Disposition Updation Page, where users input them.
If no remarks are recorded for a particular account, "NA" should be displayed in the "Remarks" column.
Report Consistency:
The addition of the "Remarks" column should not impact the existing structure or functionality of the Follow-Up List Report.
The data should be properly aligned and formatted for readability.
User Accessibility:
Users should be able to export the Follow-Up List Report with the newly added "Remarks" column.
Additional Considerations:
Ensure that the column does not disrupt existing filters, sorting, or pagination within the report.
Validate that the remarks are correctly mapped from the disposition page to the report.
Conduct UI testing to ensure proper placement and display of the "Remarks" column.
The system must allow disposition to be taken in the Collection Agency (Oracle) module without showing any error.</t>
  </si>
  <si>
    <t>Logic Issue</t>
  </si>
  <si>
    <t>Addition of "Remarks" Column in Follow-Up List Report
As a Core application user,
I want to see an additional "Remarks" column in the Follow-Up List Report,
So that I can view the remarks captured during the disposition update for each account.
Acceptance Criteria:
Addition of "Remarks" Column:
A new column named "Remarks" must be added to the Follow-Up List Report in the Report section.
The "Remarks" column should be placed immediately after the "Sub-Disposition" column.
Data Population in "Remarks" Column:
The remarks should be fetched from the Disposition Updation Page, where users input them.
If no remarks are recorded for a particular account, "NA" should be displayed in the "Remarks" column.
Report Consistency:
The addition of the "Remarks" column should not impact the existing structure or functionality of the Follow-Up List Report.
The data should be properly aligned and formatted for readability.
User Accessibility:
Users should be able to export the Follow-Up List Report with the newly added "Remarks" column.
Additional Considerations:
Ensure that the column does not disrupt existing filters, sorting, or pagination within the report.
Validate that the remarks are correctly mapped from the disposition page to the report.
Conduct UI testing to ensure proper placement and display of the "Remarks" column.
The system must allow users to successfully update and save dispositions from the disposition window in the Core module without errors.</t>
  </si>
  <si>
    <t>FCM-740</t>
  </si>
  <si>
    <t>Update Disposition and Add Remark</t>
  </si>
  <si>
    <t>Remark is saved successfully for the disposition update.</t>
  </si>
  <si>
    <t>Coding  Issue UI</t>
  </si>
  <si>
    <t>Addition of "Remarks" Column in Follow-Up List Report
As a Core application user,
I want to see an additional "Remarks" column in the Follow-Up List Report,
So that I can view the remarks captured during the disposition update for each account.
Acceptance Criteria:
Addition of "Remarks" Column:
A new column named "Remarks" must be added to the Follow-Up List Report in the Report section.
The "Remarks" column should be placed immediately after the "Sub-Disposition" column.
Data Population in "Remarks" Column:
The remarks should be fetched from the Disposition Updation Page, where users input them.
If no remarks are recorded for a particular account, "NA" should be displayed in the "Remarks" column.
Report Consistency:
The addition of the "Remarks" column should not impact the existing structure or functionality of the Follow-Up List Report.
The data should be properly aligned and formatted for readability.
User Accessibility:
Users should be able to export the Follow-Up List Report with the newly added "Remarks" column.
Additional Considerations:
Ensure that the column does not disrupt existing filters, sorting, or pagination within the report.
Validate that the remarks are correctly mapped from the disposition page to the report.
Conduct UI testing to ensure proper placement and display of the "Remarks" column.
The system must allow users to successfully update and save dispositions from the disposition window in the Collection Agency module without errors.</t>
  </si>
  <si>
    <t>Addition of "Remarks" Column in Follow-Up List Report
As a Core application user,
I want to see an additional "Remarks" column in the Follow-Up List Report,
So that I can view the remarks captured during the disposition update for each account.
Acceptance Criteria:
Addition of "Remarks" Column:
A new column named "Remarks" must be added to the Follow-Up List Report in the Report section.
The "Remarks" column should be placed immediately after the "Sub-Disposition" column.
Data Population in "Remarks" Column:
The remarks should be fetched from the Disposition Updation Page, where users input them.
If no remarks are recorded for a particular account, "NA" should be displayed in the "Remarks" column.
Report Consistency:
The addition of the "Remarks" column should not impact the existing structure or functionality of the Follow-Up List Report.
The data should be properly aligned and formatted for readability.
User Accessibility:
Users should be able to export the Follow-Up List Report with the newly added "Remarks" column.
Additional Considerations:
Ensure that the column does not disrupt existing filters, sorting, or pagination within the report.
Validate that the remarks are correctly mapped from the disposition page to the report.
Conduct UI testing to ensure proper placement and display of the "Remarks" column.
The system must display dispositions taken from the mobile app correctly in the Follow Up List report without any discrepancies.</t>
  </si>
  <si>
    <t>Lengthy Remark Disposition on Mobile</t>
  </si>
  <si>
    <t>The lengthy remark should be displayed fully in the "Remarks" column without truncation or corruption.</t>
  </si>
  <si>
    <t>WhatsApp Message Option in Template Management &amp; Notification Type
As a Core application user,
I want to have the option to create and manage WhatsApp notification templates within Template Management,
So that I can send WhatsApp notifications just like SMS, Email, and Notice notifications.
Acceptance Criteria:
Adding a WhatsApp Notification Template:
Under Template Management, when the user clicks on "Add Template", a new option "WhatsApp" must be available in the Notification Type dropdown.
User should be able to proceed with creating a new WhatsApp template.
Notification Type Dropdown:
The Notification Type dropdown must now include WhatsApp, in addition to the existing options: SMS, Email, and Notice.
Template Management Functionalities:
All functionalities available for other notification types (SMS, Email, Notice) must also be available for WhatsApp, including:
Edit Template
View Template
View History
Current Status &amp; Category Dropdown:
The Current Status and Category dropdowns will have the same options as those available for other notification types.
Notification Management for WhatsApp:
Users must be able to manage WhatsApp notifications in the same way as SMS, Email, and Notice notifications.
The system should maintain consistency across all notification types.
Additional Considerations:
Ensure UI consistency when adding WhatsApp as a notification type.
Validate that the WhatsApp message format aligns with the existing notification structures.
Confirm that the history and logging functionalities work seamlessly for WhatsApp templates.</t>
  </si>
  <si>
    <t>WhatsApp Message Option in Template Management &amp; Notification Type
As a Core application user,
I want to have the option to create and manage WhatsApp notification templates within Template Management,
So that I can send WhatsApp notifications just like SMS, Email, and Notice notifications.
Acceptance Criteria:
Adding a WhatsApp Notification Template:
Under Template Management, when the user clicks on "Add Template", a new option "WhatsApp" must be available in the Notification Type dropdown.
User should be able to proceed with creating a new WhatsApp template.
Notification Type Dropdown:
The Notification Type dropdown must now include WhatsApp, in addition to the existing options: SMS, Email, and Notice.
Template Management Functionalities:
All functionalities available for other notification types (SMS, Email, Notice) must also be available for WhatsApp, including:
Edit Template
View Template
View History
Current Status &amp; Category Dropdown:
The Current Status and Category dropdowns will have the same options as those available for other notification types.
Notification Management for WhatsApp:
Users must be able to manage WhatsApp notifications in the same way as SMS, Email, and Notice notifications.
The system should maintain consistency across all notification types.
Additional Considerations:
Ensure UI consistency when adding WhatsApp as a notification type.
Validate that the WhatsApp message format aligns with the existing notification structures.
Confirm that the history and logging functionalities work seamlessly for WhatsApp templates.
The system must display WhatsApp notification data correctly in the Follow-up and Summary Report and the Daily Alerts Status Report without omissions.</t>
  </si>
  <si>
    <t>Not Available</t>
  </si>
  <si>
    <t>Navigate to Follow-up and Summary Report</t>
  </si>
  <si>
    <t>Report page is displayed.</t>
  </si>
  <si>
    <t>Requirement Gap</t>
  </si>
  <si>
    <t>When a customer raises a complaint or suggestion via the mobile application, it should appear in the complaint module of the admin portal.
The complaint entry should include:
Customer ID
Phone Number
Email Address
The complaint details should include:
Title (Max: 100 characters)
Description (Max: 1000 characters)
Attachment (Only image files allowed)
Send Button (To submit complaints)
The complaint window should have an Export Button to allow admins to download complaints in tabular format.</t>
  </si>
  <si>
    <t>Updated User Story:
When a customer raises a complaint or suggestion via the mobile application, it should appear in the complaint module of the admin portal.
The complaint entry should include:
Customer ID
Phone Number
Email Address
The complaint details should include:
Title (Max: 100 characters)
Description (Max: 1000 characters)
Attachment (Only image files allowed)
Send Button (To submit complaints)
The complaint window should have an Export Button to allow admins to download complaints in tabular format.
Serial numbers (Sl. No) in the MyBank admin portal must display in correct sequential order without any mismatch.
"slno shows wrong in mybank admin portal"</t>
  </si>
  <si>
    <t xml:space="preserve"> MB_-419</t>
  </si>
  <si>
    <t>DataInconsistency</t>
  </si>
  <si>
    <t>Not an defect</t>
  </si>
  <si>
    <t>Updated User Story:
When a customer raises a complaint or suggestion via the mobile application, it should appear in the complaint module of the admin portal.
The complaint entry must include the following fields:
Customer ID
Phone Number
Email Address
The complaint details section must include:
Title field with a maximum of 100 characters
Description field with a maximum of 1000 characters
Attachment field that allows only image file uploads
Send Button to submit the complaint
The complaint window must include an Export Button that enables admins to download complaint records in tabular format.
Complaint reports must be visible and accessible in the MyBank admin portal.
"complaint report not showing in mybank admin portal"</t>
  </si>
  <si>
    <t>DataFetch</t>
  </si>
  <si>
    <t>Verify Registered Complaints in Admin</t>
  </si>
  <si>
    <t>Registered complaints are displayed</t>
  </si>
  <si>
    <t>Updated User Story:
When a customer raises a complaint or suggestion via the mobile application, it should appear in the complaint module of the admin portal.
The complaint entry should include:
Customer ID
Phone Number
Email Address
The complaint details should include:
Title (Max: 100 characters)
Description (Max: 1000 characters)
Attachment (Only image files allowed)
Send Button (To submit complaints)
The complaint window should have an Export Button to allow admins to download complaints in tabular format.
Export button must work and allow successful download of complaint data.
"export button not working in mybank"</t>
  </si>
  <si>
    <t>Gap- Product knowledge (Functionality)</t>
  </si>
  <si>
    <t>Display Contact Info Option in Admin</t>
  </si>
  <si>
    <t>Option is available in exported data</t>
  </si>
  <si>
    <t>Dropdown List for Duration in Interest Transfer Window
As a bank customer,
I want a dropdown list of predefined durations in the interest transfer window,
So that I can select a valid duration instead of entering it manually.
The interest transfer window should display a dropdown list of durations.
The durations should be fetched dynamically from the Beacon Pro system.
Customers should only be able to select from the predefined durations.
Free text or manual input for duration should be disabled.
The selected duration should be correctly applied to the interest transfer process.</t>
  </si>
  <si>
    <t>Updated User Story: 
Dropdown List for Duration in Interest Transfer Window
As a bank customer,
I want a dropdown list of predefined durations in the interest transfer window,
So that I can select a valid duration instead of entering it manually.
Acceptance Criteria:
The interest transfer window should display a dropdown list of durations.
The durations should be fetched dynamically from the Beacon Pro system.
Customers should only be able to select from the predefined durations.
Free text or manual input for duration should be disabled.
The selected duration should be correctly applied to the interest transfer process.
 The Frequency field should display the corresponding month or frequency value (e.g., Monthly, Quarterly) instead of showing the account number.</t>
  </si>
  <si>
    <t>MB_-420</t>
  </si>
  <si>
    <t>Gap- Product knowledge (Mapping)</t>
  </si>
  <si>
    <t>Frequency Selection for Interest Transfer</t>
  </si>
  <si>
    <t>Frequency options displayed correctly in dropdown</t>
  </si>
  <si>
    <t>Automatic Fetching of Senior Citizen ROI Based on Customer ID
As a senior citizen customer,
I want the system to automatically fetch my special ROI based on my customer ID,
So that I receive the correct interest rate without needing manual selection.
Acceptance Criteria:
The system should identify if the customer is a senior citizen based on their customer ID.
If the customer qualifies as a senior citizen, the applicable special ROI should be automatically fetched.
If no special ROI is available for senior citizens, the system should default to the regular ROI.
The user should not be able to manually override the fetched ROI.
The correct ROI should be applied when proceeding with the term deposit.
If the system fails to fetch the ROI, an appropriate error message should be displayed.</t>
  </si>
  <si>
    <t xml:space="preserve">Updatec User Story: Automatic Fetching of Senior Citizen ROI Based on Customer ID
As a senior citizen customer,
I want the system to automatically fetch my special ROI based on my customer ID,
So that I receive the correct interest rate without needing manual selection.
Acceptance Criteria:
The system should identify if the customer is a senior citizen based on their customer ID.
If the customer qualifies as a senior citizen, the applicable special ROI should be automatically fetched.
If no special ROI is available for senior citizens, the system should default to the regular ROI.
The user should not be able to manually override the fetched ROI.
The correct ROI should be applied when proceeding with the term deposit.
If the system fails to fetch the ROI, an appropriate error message should be displayed.
After entering the amount ROI, Maturity Amount, and Maturity Date should auto-populate immediately </t>
  </si>
  <si>
    <t>MB_-421</t>
  </si>
  <si>
    <t>Gap- Product knowledge (Coding Logical issue)</t>
  </si>
  <si>
    <t>Enter Invalid FD Amount</t>
  </si>
  <si>
    <t>Maturity amount, date, and ROI must load but not editable.</t>
  </si>
  <si>
    <t xml:space="preserve">Updated User Story:
Automatic Fetching of Senior Citizen ROI Based on Customer ID
As a senior citizen customer,
I want the system to automatically fetch my special ROI based on my customer ID,
So that I receive the correct interest rate without needing manual selection.
Acceptance Criteria:
The system should identify if the customer is a senior citizen based on their customer ID.
If the customer qualifies as a senior citizen, the applicable special ROI should be automatically fetched.
If no special ROI is available for senior citizens, the system should default to the regular ROI.
The user should not be able to manually override the fetched ROI.
The correct ROI should be applied when proceeding with the term deposit.
If the system fails to fetch the ROI, an appropriate error message should be displayed.
Aadhar number field should be visible on the nominee page.
</t>
  </si>
  <si>
    <t>Gap -Product knowledge( missing UI element)</t>
  </si>
  <si>
    <t>Extend News Body Length Limit
As a user,
I want the maximum body length for news articles to be increased to 2500 characters,
So that I can include more detailed information without facing limitations.
Acceptance Criteria:
The news body should allow up to 2500 characters instead of the current limit.
Users should be able to enter and save news articles with a body length of up to 2500 characters.
The system should display a clear error message if the character limit exceeds 2500.
Previously saved articles (with fewer characters) should remain unaffected.
The change should be applied consistently across all relevant input and display screens.</t>
  </si>
  <si>
    <t>Updated user Story:
Extend News Body Length Limit
As a user,
I want the maximum body length for news articles to be increased to 2500 characters,
So that I can include more detailed information without facing limitations.
Acceptance Criteria:
The news body should allow up to 2500 characters instead of the current limit.
Users should be able to enter and save news articles with a body length of up to 2500 characters.
The system should display a clear error message if the character limit exceeds 2500.
Previously saved articles (with fewer characters) should remain unaffected.
The change should be applied consistently across all relevant input and display screens.
News content should be fully visible and properly aligned on both web and mobile platforms.</t>
  </si>
  <si>
    <t>MB_-426</t>
  </si>
  <si>
    <t>Responsiveness (Styling/Layout issue )</t>
  </si>
  <si>
    <t>Verify News Display - Heading and Content</t>
  </si>
  <si>
    <t>Heading and content show correctly without issues</t>
  </si>
  <si>
    <t>Display Product Name and Opened Account Number in Term Deposit Request Report
As a user,
I want the term deposit request report to include the product name and opened account number,
So that I can easily identify accounts opened through MyBank without confusion.
Acceptance Criteria:
The product name and opened account number should be displayed in the term deposit request report.
The data should be accurately retrieved from the system and correctly mapped in the report.
The report format should remain clear and structured after adding the new fields.
Users should be able to filter or search based on the product name or opened account number if applicable.
No existing report functionality should be affected by this update.</t>
  </si>
  <si>
    <t>Updated User Story:
Display Product Name and Opened Account Number in Term Deposit Request Report
As a user,
I want the term deposit request report to include the product name and opened account number,
So that I can easily identify accounts opened through MyBank without confusion.
Acceptance Criteria:
The product name and opened account number should be displayed in the term deposit request report.
The data should be accurately retrieved from the system and correctly mapped in the report.
The report format should remain clear and structured after adding the new fields.
Users should be able to filter or search based on the product name or opened account number if applicable.
No existing report functionality should be affected by this update.
After proceeding, the app should navigate to the OTP page instead of returning to the interest page.</t>
  </si>
  <si>
    <t>MB_-427</t>
  </si>
  <si>
    <t>Gap - Product Knowledge (Navigation)</t>
  </si>
  <si>
    <t>Open FD Account</t>
  </si>
  <si>
    <t>FD account is opened successfully.</t>
  </si>
  <si>
    <t>Updated User Story:
Display Product Name and Opened Account Number in Term Deposit Request Report
As a user,
I want the term deposit request report to include the product name and opened account number,
So that I can easily identify accounts opened through MyBank without confusion.
Acceptance Criteria:
The product name and opened account number should be displayed in the term deposit request report.
The data should be accurately retrieved from the system and correctly mapped in the report.
The report format should remain clear and structured after adding the new fields.
Users should be able to filter or search based on the product name or opened account number if applicable.
No existing report functionality should be affected by this update.
Opened fixed deposits should be displayed in the Term Deposit Requests section.</t>
  </si>
  <si>
    <t>Gap -product knowledge (Data Synchronization)</t>
  </si>
  <si>
    <t>Updated User Story:
Display Product Name and Opened Account Number in Term Deposit Request Report
As a user,
I want the term deposit request report to include the product name and opened account number,
So that I can easily identify accounts opened through MyBank without confusion.
Acceptance Criteria:
The product name and opened account number should be displayed in the term deposit request report.
The data should be accurately retrieved from the system and correctly mapped in the report.
The report format should remain clear and structured after adding the new fields.
Users should be able to filter or search based on the product name or opened account number if applicable.
No existing report functionality should be affected by this update.
After clicking the refresh button, the Term Deposit Request window should display updated data without causing the app to hang.</t>
  </si>
  <si>
    <t>Product Knowledge</t>
  </si>
  <si>
    <t>Verify FD Account in Report</t>
  </si>
  <si>
    <t>Opened FD account is listed in the report.</t>
  </si>
  <si>
    <t>View Status of Complained Requests
As a MyBank app user,
I want to view the status and details of my complained requests,
So that I can stay informed about my complaint's progress and bank's response.
Acceptance Criteria:
A 'View Status' button should be available under the 'My Request' section.
When the user clicks on the 'View Status' button, the following details should be displayed:
Complaint Description
Complaint Remark (Bank Reply)
Current Complaint Status (Registered, In Progress, Closed, Reopened)
The information should be fetched in real-time and accurately reflect the latest complaint status.
The UI should be user-friendly and follow MyBank app's existing design standards.
If no complaint exists, display an appropriate message: "No complaint records found."</t>
  </si>
  <si>
    <t>User Story:
View Status of Complained Requests
As a MyBank app user,
I want to view the status and details of my complained requests,
So that I can stay informed about my complaint's progress and the bank's response.
Acceptance Criteria:
A 'View Status' button should be available under the 'My Request' section.
When the user clicks on the 'View Status' button, the following details should be displayed:
Complaint Description
Complaint Remark (Bank Reply)
Current Complaint Status (Registered, In Progress, Closed, Reopened)
The information should be fetched in real-time and accurately reflect the latest complaint status.
The UI should be user-friendly and follow MyBank app's existing design standards.
If no complaint exists, display an appropriate message: "No complaint records found."
The View button should be visible in the Request Status window for each complaint entry.</t>
  </si>
  <si>
    <t>MB_-354</t>
  </si>
  <si>
    <t>check on view button against complaints</t>
  </si>
  <si>
    <t>must possible to view successfully</t>
  </si>
  <si>
    <t xml:space="preserve">User Story:
View Status of Complained Requests
As a MyBank app user,
I want to view the status and details of my complained requests,
So that I can stay informed about my complaint's progress and the bank's response.
Acceptance Criteria:
A 'View Status' button should be available under the 'My Request' section.
When the user clicks on the 'View Status' button, the following details should be displayed:
Complaint Description
Complaint Remark (Bank Reply)
Current Complaint Status (Registered, In Progress, Closed, Reopened)
The information should be fetched in real-time and accurately reflect the latest complaint status.
The UI should be user-friendly and follow MyBank app's existing design standards.
If no complaint exists, display an appropriate message: "No complaint records found."
The app should not crash when clicking on the APK, and it should launch properly without any issues.
</t>
  </si>
  <si>
    <t>post-build validation not performed</t>
  </si>
  <si>
    <t>click on the link button many times check app is crashing or not</t>
  </si>
  <si>
    <t>app should not crash</t>
  </si>
  <si>
    <t>Build and Deployment Issue</t>
  </si>
  <si>
    <t>Block Same-Bank Fund Transfers for RTGS/NEFT Transactions
As a MyBank customer,
I want the system to prevent RTGS/NEFT transactions when transferring funds within the same bank,
So that I comply with internal banking policies and avoid unnecessary external transaction processing.
Acceptance Criteria:
The system should validate the IFSC code before processing an RTGS/NEFT transaction.
If the sender and recipient IFSC codes belong to the same bank, the transaction should be blocked.
The system should display an error message:
"Transaction not allowed: Use internal transfer options for same-bank transactions (Error Code: FBAPI000030)."
IMPS transactions should not be blocked, as they allow same-bank transfers.
The system should log the error event for auditing purposes.
The user should be guided to use alternate transfer methods (e.g., internal bank transfer options).</t>
  </si>
  <si>
    <t>Updated User Story:
Block Same-Bank Fund Transfers for RTGS/NEFT Transactions
As a MyBank customer,
I want the system to prevent RTGS/NEFT transactions when transferring funds within the same bank,
So that I comply with internal banking policies and avoid unnecessary external transaction processing.
Acceptance Criteria:
The system should validate the IFSC code before processing an RTGS/NEFT transaction.
If the sender and recipient IFSC codes belong to the same bank, the transaction should be blocked.
The system should display an error message:
"Transaction not allowed: Use internal transfer options for same-bank transactions (Error Code: FBAPI000030)."
IMPS transactions should not be blocked, as they allow same-bank transfers.
The system should log the error event for auditing purposes.
The user should be guided to use alternate transfer methods (e.g., internal bank transfer options).
The system should display a validation message when adding an own bank beneficiary in the "Other Bank" section of the EFT window if no bank details are entered.</t>
  </si>
  <si>
    <t>MB_-356</t>
  </si>
  <si>
    <t>Missing validation logic in the backend</t>
  </si>
  <si>
    <t>Perform an EFT/IMPS transfer to the own bank beneficiary.</t>
  </si>
  <si>
    <t>Transfer should be successful.</t>
  </si>
  <si>
    <t>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t>
  </si>
  <si>
    <t>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App Stability on Login
The application should not crash when the user attempts to log in.</t>
  </si>
  <si>
    <t>MB_-352</t>
  </si>
  <si>
    <t>App Crash</t>
  </si>
  <si>
    <t>open my bank application - login to application </t>
  </si>
  <si>
    <t>must possible to show successfully</t>
  </si>
  <si>
    <t>Script Missing</t>
  </si>
  <si>
    <t>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t>
  </si>
  <si>
    <t>Updated 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Error Handling
The loan opening window should open without displaying an ""unknown error occurred" popup.</t>
  </si>
  <si>
    <t>UnhandledException</t>
  </si>
  <si>
    <t>now click on gold loan opening banner </t>
  </si>
  <si>
    <t>concent form will be displayed</t>
  </si>
  <si>
    <t xml:space="preserve">
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ROI Display
The ROI (Rate of Interest) should display a maximum of two decimal places after the decimal point.</t>
  </si>
  <si>
    <t>Product Knowledge (Gap -Formatting )</t>
  </si>
  <si>
    <t>try to open an gold loan opening - select packet - click on next - summary page will be displayed - enter loan amount - select amount - click on get schemes - select scheme -&gt;check roi decimal shows propely</t>
  </si>
  <si>
    <t>decimal and the format of amount must be correct</t>
  </si>
  <si>
    <t xml:space="preserve">Updated 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App Navigation for Product Selection: 
When the user selects "odkcc" as the product, the app should navigate to the corresponding product detail page instead of redirecting to the homepage.
</t>
  </si>
  <si>
    <t>Product Knowledge (Routing Configuration Issue)</t>
  </si>
  <si>
    <t>try to open an odkcc account through mybank application - check drwable amount and other details shows correct in before payment summary page</t>
  </si>
  <si>
    <t>must show correct amount</t>
  </si>
  <si>
    <t>Updated 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The system must display the correct drawing amount for the "odkcc" account opening based on the predefined calculation logic.</t>
  </si>
  <si>
    <t>Product Knowledge(Data Mapping or Calculation Issue)</t>
  </si>
  <si>
    <t>open an odkcc account - summary page will be displayed click on back to home actual result </t>
  </si>
  <si>
    <t>must possible to redirect to home page</t>
  </si>
  <si>
    <t>Updated 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Users should be able to successfully open an ODKCC account through MyBank, and the drawable amount displayed must accurately reflect the correct available balance.</t>
  </si>
  <si>
    <t>Product Knowledge (Intergation issue between Mybank and ODKCC account)</t>
  </si>
  <si>
    <t>Updated user Story: Automatic Pre-Approved Gold Loan Integration
As a Customer of My Bank,
I want to seamlessly apply for and manage a pre-approved gold loan based on my gold packet valuation,
So that I can quickly receive loan disbursement, renew my loan, and track my gold loan details conveniently.
Acceptance Criteria:
Loan Amount Display &amp; Selection
The system should display the maximum eligible loan amount based on the valuation of gold packets.
Customers should be able to select one, multiple, or all available unreleased gold packets for the loan application.
If no unreleased gold packets are available, the system should display a message: "No packets available."
Loan Renewal Options
Renew with Additional Loan: The system reassesses the gold packet's current valuation and offers an additional loan based on any value increase.
Renew without Additional Loan: The loan is extended for another term without modifying the existing loan amount.
Customers can initiate both custom payments and due payments through the renewal window.
Customers with a normal gold loan can also renew it via the renewal window.
Loan Disbursement &amp; Account Options
The approved loan amount should be credited directly to the customer's account instantly upon approval.
Customers should have the option to open an Overdraft (OD) account using gold packets.
"Open Now, Transfer Later" functionality should be available only for OD accounts.
Security &amp; Visibility
Customers should be able to view images of their gold security packets in the gold loan application window.
Only unreleased security packets should be available for selection in the gold loan application.
Notifications &amp; Communication
The system should configure SMS and email notifications to inform customers about:
Loan disbursal or renewal
Key details such as loan amount, interest rate, tenure, and due date
Constraints &amp; Exclusions
Customers cannot manually enter gold weight; valuation is system-driven.
App should not crash when the back button is clicked on the summary page</t>
  </si>
  <si>
    <t>NullPointer Exception</t>
  </si>
  <si>
    <t>Display Date and Time on Notification and News Screen
As a user,
I want to see the date and time of news updates and notifications,
So that I can easily understand when each update was posted and avoid confusion.
Acceptance Criteria:
Each notification should display the date and time when it was received.
Each news update should show the date and time it was published.
The date and time format should be consistent across notifications and news.
The information should be clearly visible without needing additional clicks or interactions.
The feature should be tested to ensure accuracy and proper display across different devices.</t>
  </si>
  <si>
    <t>User Story:
Display Date and Time on Notification and News Screen
As a user,
I want to see the date and time of news updates and notifications,
So that I can easily understand when each update was posted and avoid confusion.
Acceptance Criteria:
Each notification should display the date and time when it was received.
Each news update should show the date and time it was published.
The date and time format should be consistent across notifications and news.
The information should be clearly visible without needing additional clicks or interactions.
The feature should be tested to ensure accuracy and proper display across different devices.
The app should display news notifications correctly and navigate to the news details page without crashing when selecting the "News" option from the floating menu.</t>
  </si>
  <si>
    <t>MB_-357</t>
  </si>
  <si>
    <t>Backend failure or Server side Error handling</t>
  </si>
  <si>
    <t>check news in notification and check  settings - news </t>
  </si>
  <si>
    <t>must view added news in notication and also added news must display in news window in setttings</t>
  </si>
  <si>
    <t>Enable Image Capture and Upload in TDS Exception Marking Window
As a user of the MY Bank mobile application,
I want to capture or upload images within the TDS Exception Marking Window,
So that I can easily submit required documents for TDS exception processing.
Acceptance Criteria:
Image Capture Functionality:
Users can use their device’s camera to capture images directly within the application.
The captured image should be clear, readable, and properly formatted for submission.
Image Upload Functionality:
Users can upload existing images from their device storage.
Supported formats should include JPEG, PNG, and PDF.
User Experience &amp; Validation:
Users should receive a preview option before submitting an image.
The system should provide error messages for unsupported file types or corrupted images.
Images should be compressed/optimized for fast upload without compromising quality.
Security &amp; Compliance:
Uploaded images should be securely stored and encrypted.
The system should not allow unauthorized access to uploaded files.</t>
  </si>
  <si>
    <t>User Story:
Enable Image Capture and Upload in TDS Exception Marking Window
As a user of the MY Bank mobile application,
I want to capture or upload images within the TDS Exception Marking Window,
So that I can easily submit required documents for TDS exception processing.
Acceptance Criteria:
 Image Capture Functionality:
Users can use their device’s camera to capture images directly within the application.
The captured image should be clear, readable, and properly formatted for submission.
Image Upload Functionality:
Users can upload existing images from their device storage.
Supported formats should include JPEG, PNG, and PDF.
 User Experience &amp; Validation:
Users should receive a preview option before submitting an image.
The system should provide error messages for unsupported file types or corrupted images.
Images should be compressed/optimized for fast upload without compromising quality.
 Security &amp; Compliance:
Uploaded images should be securely stored and encrypted.
The system should not allow unauthorized access to uploaded files.
 Error Handling:
The system should not return a 500 Internal Server Error when marking a TDS exemption</t>
  </si>
  <si>
    <t>MB_-350</t>
  </si>
  <si>
    <t>Unhandled backend exception</t>
  </si>
  <si>
    <t>upload document and check document upload done successfully</t>
  </si>
  <si>
    <t>must possible to upload successfully</t>
  </si>
  <si>
    <t>Block Same-Bank Fund Transfers for RTGS/NEFT Transactions
As a MyBank customer,
I want the system to prevent RTGS/NEFT transactions when transferring funds within the same bank,
So that I comply with internal banking policies and avoid unnecessary external transaction processing.
Acceptance Criteria:
The system should validate the IFSC code before processing an RTGS/NEFT transaction.
If the sender and recipient IFSC codes belong to the same bank, the transaction should be blocked.
The system should display an error message:
"Transaction not allowed: Use internal transfer options for same-bank transactions (Error Code: FBAPI000030)."
IMPS transactions should not be blocked, as they allow same-bank transfers.
The system should log the error event for auditing purposes.
The user should be guided to use alternate transfer methods (e.g., internal bank transfer options).
 The EFT Outward table must display the correct IFSC code and show the
 transfer type in a readable format instead of a numeric value.</t>
  </si>
  <si>
    <t xml:space="preserve">Data Mapping issue </t>
  </si>
  <si>
    <t>ID</t>
  </si>
  <si>
    <t>Task</t>
  </si>
  <si>
    <t>Summary</t>
  </si>
  <si>
    <t>Forward SMA Movement (SQL) : The Count and Amount section shows as 0 when there is no data under a particular category, and the Channel selected is other than 'ALL'</t>
  </si>
  <si>
    <t>SQL: As Discussion With PM He suggested changing the backward slash to a forward slash to differentiate Count and Amount</t>
  </si>
  <si>
    <t>Forward NPA Movement (SQL) : Count and Amount showing as 0 in Consolidated Forward NPA Movement (Count ï¼¼ Amount - In Lakhs) graph when there is no data under a particular month and compare with is used</t>
  </si>
  <si>
    <t>Backward SMA Movement (SQL) : Count Section Not showing in case of no data under that category</t>
  </si>
  <si>
    <t>Backward SMA Movement (SQL) : Count Section Not showing in Backward SMA Movement(Count ï¼¼ Amount) ( In Lakhs ) graph  in case of no data under that category and a particular Channel is selected</t>
  </si>
  <si>
    <t>Backward SMA Movement (SQL) : Count and Amount Section showing as 0 in case of no data under that category When compare with filter is used</t>
  </si>
  <si>
    <t>APGB-SQL:Core-&gt;Not able to do disposition from Updation of disposition window .</t>
  </si>
  <si>
    <t>Regularized SMA Accounts (SQL): Huge Decimal is showing in Percentage</t>
  </si>
  <si>
    <t>Regularized SMA Accounts (SQL): In Table View Amount is not showing Based on The Currency String Configuration</t>
  </si>
  <si>
    <t>oracle : user mangement : Not able to create core user, throwing exception</t>
  </si>
  <si>
    <t>Version PL-SQL 1.1.1.2 (SQL) notification count is overlapping</t>
  </si>
  <si>
    <t>APGB-SQL:Collection Agency-&gt;Not able to do disposition from Updation of disposition window .</t>
  </si>
  <si>
    <t>APGB-SQL:Follow up List report-&gt;Disposition taken from mobile app is not displayed in Follow up List report</t>
  </si>
  <si>
    <t>Forward SMA/NPA Movement (SQL) : Movement Amount showing is wrong in Table View of Consolidated Forward SMA/NPA Movement(Count / Amount In Lakhs) Graph</t>
  </si>
  <si>
    <t>APGB-ORACLE &amp; SQL-&gt;Whatsapp notification data is not displayed in Follow-up and Summary Report &amp; Daily Alerts Status Report.</t>
  </si>
  <si>
    <t>Oracle : Updation of disposition: showing something went wrong message while doing disposition</t>
  </si>
  <si>
    <t>Forward NPA Movement (Oracle) : No data found showing in the graphs in which have count work implemented</t>
  </si>
  <si>
    <t>Backward SMA Movement (Oracle) : Movement Category is showing only when have Data under that Category in Product wise graph</t>
  </si>
  <si>
    <t>Regularized NPA Accounts (Oracle): Having Issue in the package</t>
  </si>
  <si>
    <t>Regularized NPA Accounts (SQL/Oracle): Pending Column should be present in in Both Zone/Region/Branch Wise View of NPA Regularized Accounts(Count / Amount) ( In Lakhs )</t>
  </si>
  <si>
    <t>Collection Agency (Oracle) : Error shows when take disposition</t>
  </si>
  <si>
    <t>Regularized NPA/SMA Accounts (SQL/ORACLE): The Same Graph Label should be displayed in case of no data found</t>
  </si>
  <si>
    <t>"complaint report not showing in mybank admin portal"</t>
  </si>
  <si>
    <t>MB_-419</t>
  </si>
  <si>
    <t>"content not possible to saw completely and alignment shows wrong"</t>
  </si>
  <si>
    <t>"export button not working in mybank"</t>
  </si>
  <si>
    <t>"instead of month , showing account number in frequency field"</t>
  </si>
  <si>
    <t>"app moving backward , instead of moving otp page ,page  moving backward to interest page."</t>
  </si>
  <si>
    <t>"opened fd not showing in Term deposit Requests "</t>
  </si>
  <si>
    <t>"roi ,maturity amount and maturity date not loading automatically after entering amount"</t>
  </si>
  <si>
    <t>"aadhar number field not showing in nominee page"</t>
  </si>
  <si>
    <t>"term deposit request window not showing any data , after clicking on refresh button app keeps hanging"</t>
  </si>
  <si>
    <t>"slno shows wrong in mybank admin portal"</t>
  </si>
  <si>
    <t>664167-1</t>
  </si>
  <si>
    <t>"App keeps crashing while trying to log to application"</t>
  </si>
  <si>
    <t>"unknown error occurred " an popup shows up while opening loan opening window</t>
  </si>
  <si>
    <t>"ROI decimals shows more than 2 digits after decimal"</t>
  </si>
  <si>
    <t>"no validation message shows up while adding own bank beneficary in other bank in eft window"</t>
  </si>
  <si>
    <t>"view button not showing in request status window against complaints"</t>
  </si>
  <si>
    <t>"app keeps crashing while clicking on apk"</t>
  </si>
  <si>
    <t>While to TDS Exemption marking showing "Internal server error : 500"</t>
  </si>
  <si>
    <t>While add news the notification is not showing as well from the floating menu News option selected and click on the news details app crashing.</t>
  </si>
  <si>
    <t>"app redirects to homepage while selecting odkcc as product"</t>
  </si>
  <si>
    <t>"currently drawing  amount shows wrong against odkcc acc opening "</t>
  </si>
  <si>
    <t>"not possible to open odkcc account through mybank and also drwable amount shows wrong"</t>
  </si>
  <si>
    <t>"app got crashing while clicking on back button in summary page"</t>
  </si>
  <si>
    <t>Total Defects last year</t>
  </si>
  <si>
    <t>Total Defects found last year in Beacon project</t>
  </si>
  <si>
    <t>20% of total defects</t>
  </si>
  <si>
    <t>AVG time taken to fix each defect</t>
  </si>
  <si>
    <t>5hrs</t>
  </si>
  <si>
    <t>Total hrs spent on defect life cycle</t>
  </si>
  <si>
    <t>5*4000</t>
  </si>
  <si>
    <t>20000 hrs</t>
  </si>
  <si>
    <t>Requirement gap</t>
  </si>
  <si>
    <t>Regression testing defects</t>
  </si>
  <si>
    <t>chk test coverage</t>
  </si>
  <si>
    <t>Database table related issues</t>
  </si>
  <si>
    <t>0 data validation is missing in AI BDD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</si>
</sst>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000000"/>
      <name val="Calibri"/>
      <family val="2"/>
    </font>
    <font>
      <sz val="11"/>
      <color rgb="FFFF0000"/>
      <name val="Calibri"/>
      <family val="2"/>
    </font>
    <font>
      <sz val="11"/>
      <name val="Calibri"/>
      <family val="2"/>
    </font>
    <font>
      <sz val="11"/>
      <color theme="1"/>
      <name val="Calibri"/>
      <family val="2"/>
    </font>
  </fonts>
  <fills count="6">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1" xfId="0" applyBorder="1" applyAlignment="1">
      <alignment horizontal="center" vertical="center" wrapText="1"/>
    </xf>
    <xf numFmtId="9" fontId="0" fillId="2" borderId="1" xfId="0" applyNumberFormat="1" applyFill="1" applyBorder="1" applyAlignment="1">
      <alignment horizontal="center" vertical="center" wrapText="1"/>
    </xf>
    <xf numFmtId="0" fontId="0" fillId="0" borderId="1" xfId="0" applyBorder="1"/>
    <xf numFmtId="0" fontId="1" fillId="0" borderId="1" xfId="0" applyFont="1" applyBorder="1"/>
    <xf numFmtId="0" fontId="0" fillId="0" borderId="1" xfId="0" applyBorder="1" applyAlignment="1">
      <alignment wrapText="1"/>
    </xf>
    <xf numFmtId="3" fontId="0" fillId="0" borderId="1" xfId="0" applyNumberFormat="1" applyBorder="1" applyAlignment="1">
      <alignment horizontal="right"/>
    </xf>
    <xf numFmtId="0" fontId="0" fillId="0" borderId="1" xfId="0" applyBorder="1" applyAlignment="1">
      <alignment horizontal="right"/>
    </xf>
    <xf numFmtId="3" fontId="0" fillId="0" borderId="1" xfId="0" applyNumberFormat="1" applyBorder="1"/>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center"/>
    </xf>
    <xf numFmtId="0" fontId="0" fillId="3" borderId="1" xfId="0" applyFill="1" applyBorder="1" applyAlignment="1">
      <alignment horizontal="center"/>
    </xf>
    <xf numFmtId="9" fontId="0" fillId="2" borderId="1" xfId="0" applyNumberFormat="1"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xf>
    <xf numFmtId="1" fontId="0" fillId="4" borderId="1" xfId="0" applyNumberFormat="1" applyFill="1" applyBorder="1" applyAlignment="1">
      <alignment horizontal="center" vertical="center"/>
    </xf>
    <xf numFmtId="0" fontId="0" fillId="4" borderId="1" xfId="0" applyFill="1" applyBorder="1" applyAlignment="1">
      <alignment horizontal="center" vertical="center" wrapText="1"/>
    </xf>
    <xf numFmtId="0" fontId="0" fillId="4" borderId="0" xfId="0" applyFill="1"/>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horizontal="center"/>
    </xf>
    <xf numFmtId="0" fontId="4" fillId="0" borderId="2" xfId="0" applyFont="1" applyBorder="1" applyAlignment="1">
      <alignment horizontal="center" wrapText="1"/>
    </xf>
    <xf numFmtId="0" fontId="3" fillId="0" borderId="2" xfId="0" applyFont="1" applyBorder="1" applyAlignment="1">
      <alignment horizontal="center" wrapText="1"/>
    </xf>
    <xf numFmtId="0" fontId="2" fillId="0" borderId="2" xfId="0" applyFont="1" applyBorder="1" applyAlignment="1">
      <alignment horizontal="center" wrapText="1"/>
    </xf>
    <xf numFmtId="0" fontId="5" fillId="0" borderId="2" xfId="0" applyFont="1" applyBorder="1" applyAlignment="1">
      <alignment horizontal="center" wrapText="1"/>
    </xf>
    <xf numFmtId="0" fontId="0" fillId="0" borderId="3" xfId="0" applyBorder="1"/>
    <xf numFmtId="0" fontId="0" fillId="0" borderId="3" xfId="0" applyBorder="1" applyAlignment="1">
      <alignment wrapText="1"/>
    </xf>
    <xf numFmtId="0" fontId="0" fillId="4" borderId="4" xfId="0" applyFill="1" applyBorder="1" applyAlignment="1">
      <alignment horizontal="center" vertical="center" wrapText="1"/>
    </xf>
    <xf numFmtId="0" fontId="0" fillId="0" borderId="4" xfId="0" applyBorder="1" applyAlignment="1">
      <alignment horizontal="center" vertical="center"/>
    </xf>
    <xf numFmtId="0" fontId="0" fillId="4" borderId="4" xfId="0" applyFill="1" applyBorder="1" applyAlignment="1">
      <alignment horizontal="center" vertical="center"/>
    </xf>
    <xf numFmtId="0" fontId="1" fillId="0" borderId="1"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B7" sqref="B7"/>
    </sheetView>
  </sheetViews>
  <sheetFormatPr defaultRowHeight="15"/>
  <cols>
    <col min="1" max="1" width="23.7109375" bestFit="1" customWidth="1"/>
    <col min="5" max="5" width="21.5703125" customWidth="1"/>
    <col min="8" max="8" width="21.7109375" customWidth="1"/>
    <col min="10" max="10" width="22.5703125" bestFit="1" customWidth="1"/>
    <col min="13" max="13" width="20.85546875" bestFit="1" customWidth="1"/>
  </cols>
  <sheetData>
    <row r="1" spans="1:10" ht="60.75">
      <c r="A1" s="19" t="s">
        <v>0</v>
      </c>
      <c r="B1" s="19" t="s">
        <v>1</v>
      </c>
      <c r="C1" s="19" t="s">
        <v>2</v>
      </c>
      <c r="D1" s="19" t="s">
        <v>3</v>
      </c>
      <c r="E1" s="19" t="s">
        <v>4</v>
      </c>
      <c r="F1" s="19" t="s">
        <v>5</v>
      </c>
      <c r="G1" s="19" t="s">
        <v>6</v>
      </c>
      <c r="H1" s="19" t="s">
        <v>7</v>
      </c>
      <c r="I1" s="20" t="s">
        <v>8</v>
      </c>
      <c r="J1" s="19" t="s">
        <v>9</v>
      </c>
    </row>
    <row r="2" spans="1:10" ht="15" customHeight="1">
      <c r="A2" s="1" t="s">
        <v>10</v>
      </c>
      <c r="B2" s="1">
        <v>4</v>
      </c>
      <c r="C2" s="1">
        <v>2</v>
      </c>
      <c r="D2" s="1">
        <v>0</v>
      </c>
      <c r="E2" s="2">
        <f>D2/C2</f>
        <v>0</v>
      </c>
      <c r="F2" s="11"/>
      <c r="G2" s="11"/>
      <c r="H2" s="11"/>
      <c r="I2" s="32" t="s">
        <v>11</v>
      </c>
      <c r="J2" s="22">
        <v>2</v>
      </c>
    </row>
    <row r="3" spans="1:10">
      <c r="A3" s="1" t="s">
        <v>12</v>
      </c>
      <c r="B3" s="1">
        <v>6</v>
      </c>
      <c r="C3" s="1">
        <v>2</v>
      </c>
      <c r="D3" s="1">
        <v>0</v>
      </c>
      <c r="E3" s="2">
        <f t="shared" ref="E3:E7" si="0">D3/C3</f>
        <v>0</v>
      </c>
      <c r="F3" s="11"/>
      <c r="G3" s="11"/>
      <c r="H3" s="11"/>
      <c r="I3" s="32"/>
      <c r="J3" s="26">
        <v>2</v>
      </c>
    </row>
    <row r="4" spans="1:10">
      <c r="A4" s="1" t="s">
        <v>13</v>
      </c>
      <c r="B4" s="1">
        <v>29</v>
      </c>
      <c r="C4" s="1">
        <v>15</v>
      </c>
      <c r="D4" s="1">
        <v>8</v>
      </c>
      <c r="E4" s="2">
        <f t="shared" si="0"/>
        <v>0.53333333333333333</v>
      </c>
      <c r="F4" s="11"/>
      <c r="G4" s="11"/>
      <c r="H4" s="11"/>
      <c r="I4" s="32"/>
      <c r="J4" s="23">
        <v>7</v>
      </c>
    </row>
    <row r="5" spans="1:10">
      <c r="A5" s="1" t="s">
        <v>14</v>
      </c>
      <c r="B5" s="1">
        <v>10</v>
      </c>
      <c r="C5" s="1">
        <v>4</v>
      </c>
      <c r="D5" s="1">
        <v>4</v>
      </c>
      <c r="E5" s="2">
        <f t="shared" si="0"/>
        <v>1</v>
      </c>
      <c r="F5" s="11"/>
      <c r="G5" s="11"/>
      <c r="H5" s="11"/>
      <c r="I5" s="32"/>
      <c r="J5" s="24" t="s">
        <v>15</v>
      </c>
    </row>
    <row r="6" spans="1:10">
      <c r="A6" s="1" t="s">
        <v>16</v>
      </c>
      <c r="B6" s="1">
        <v>6</v>
      </c>
      <c r="C6" s="1">
        <v>1</v>
      </c>
      <c r="D6" s="1">
        <v>0</v>
      </c>
      <c r="E6" s="2">
        <f t="shared" si="0"/>
        <v>0</v>
      </c>
      <c r="F6" s="11"/>
      <c r="G6" s="11"/>
      <c r="H6" s="11"/>
      <c r="I6" s="32"/>
      <c r="J6" s="25">
        <v>1</v>
      </c>
    </row>
    <row r="7" spans="1:10">
      <c r="A7" s="1" t="s">
        <v>17</v>
      </c>
      <c r="B7" s="1">
        <v>7</v>
      </c>
      <c r="C7" s="1">
        <v>1</v>
      </c>
      <c r="D7" s="1">
        <v>0</v>
      </c>
      <c r="E7" s="2">
        <f t="shared" si="0"/>
        <v>0</v>
      </c>
      <c r="F7" s="11"/>
      <c r="G7" s="11"/>
      <c r="H7" s="11"/>
      <c r="I7" s="32"/>
      <c r="J7" s="25">
        <v>1</v>
      </c>
    </row>
    <row r="8" spans="1:10">
      <c r="A8" s="1" t="s">
        <v>18</v>
      </c>
      <c r="B8" s="1">
        <v>14</v>
      </c>
      <c r="C8" s="1">
        <v>4</v>
      </c>
      <c r="D8" s="1">
        <v>1</v>
      </c>
      <c r="E8" s="2">
        <f t="shared" ref="E8:E18" si="1">D8/C8</f>
        <v>0.25</v>
      </c>
      <c r="F8" s="11"/>
      <c r="G8" s="11"/>
      <c r="H8" s="11"/>
      <c r="I8" s="32" t="s">
        <v>19</v>
      </c>
      <c r="J8" s="23">
        <v>3</v>
      </c>
    </row>
    <row r="9" spans="1:10">
      <c r="A9" s="1" t="s">
        <v>20</v>
      </c>
      <c r="B9" s="1">
        <v>9</v>
      </c>
      <c r="C9" s="1">
        <v>1</v>
      </c>
      <c r="D9" s="1">
        <v>0</v>
      </c>
      <c r="E9" s="2">
        <f t="shared" si="1"/>
        <v>0</v>
      </c>
      <c r="F9" s="11"/>
      <c r="G9" s="11"/>
      <c r="H9" s="11"/>
      <c r="I9" s="32"/>
      <c r="J9" s="25">
        <v>1</v>
      </c>
    </row>
    <row r="10" spans="1:10">
      <c r="A10" s="1" t="s">
        <v>21</v>
      </c>
      <c r="B10" s="1">
        <v>4</v>
      </c>
      <c r="C10" s="1">
        <v>2</v>
      </c>
      <c r="D10" s="1">
        <v>0</v>
      </c>
      <c r="E10" s="2">
        <f t="shared" si="1"/>
        <v>0</v>
      </c>
      <c r="F10" s="11"/>
      <c r="G10" s="11"/>
      <c r="H10" s="11"/>
      <c r="I10" s="32"/>
      <c r="J10" s="25">
        <v>2</v>
      </c>
    </row>
    <row r="11" spans="1:10">
      <c r="A11" s="1" t="s">
        <v>22</v>
      </c>
      <c r="B11" s="1">
        <v>7</v>
      </c>
      <c r="C11" s="1">
        <v>1</v>
      </c>
      <c r="D11" s="1">
        <v>1</v>
      </c>
      <c r="E11" s="2">
        <f t="shared" si="1"/>
        <v>1</v>
      </c>
      <c r="F11" s="11"/>
      <c r="G11" s="11"/>
      <c r="H11" s="11"/>
      <c r="I11" s="32"/>
      <c r="J11" s="23"/>
    </row>
    <row r="12" spans="1:10">
      <c r="A12" s="1" t="s">
        <v>23</v>
      </c>
      <c r="B12" s="1">
        <v>10</v>
      </c>
      <c r="C12" s="1">
        <v>2</v>
      </c>
      <c r="D12" s="1">
        <v>1</v>
      </c>
      <c r="E12" s="2">
        <f t="shared" si="1"/>
        <v>0.5</v>
      </c>
      <c r="F12" s="11"/>
      <c r="G12" s="11"/>
      <c r="H12" s="11"/>
      <c r="I12" s="32"/>
      <c r="J12" s="23">
        <v>1</v>
      </c>
    </row>
    <row r="13" spans="1:10">
      <c r="A13" s="1" t="s">
        <v>24</v>
      </c>
      <c r="B13" s="1">
        <v>6</v>
      </c>
      <c r="C13" s="1">
        <v>3</v>
      </c>
      <c r="D13" s="1">
        <v>0</v>
      </c>
      <c r="E13" s="2">
        <f t="shared" si="1"/>
        <v>0</v>
      </c>
      <c r="F13" s="11"/>
      <c r="G13" s="11"/>
      <c r="H13" s="11"/>
      <c r="I13" s="32"/>
      <c r="J13" s="25">
        <v>3</v>
      </c>
    </row>
    <row r="14" spans="1:10" s="18" customFormat="1">
      <c r="A14" s="14">
        <v>5552</v>
      </c>
      <c r="B14" s="16">
        <v>13</v>
      </c>
      <c r="C14" s="16">
        <v>2</v>
      </c>
      <c r="D14" s="17">
        <v>1</v>
      </c>
      <c r="E14" s="2">
        <f t="shared" si="1"/>
        <v>0.5</v>
      </c>
      <c r="F14" s="15"/>
      <c r="G14" s="15"/>
      <c r="H14" s="15"/>
      <c r="I14" s="32" t="s">
        <v>25</v>
      </c>
      <c r="J14" s="15">
        <v>1</v>
      </c>
    </row>
    <row r="15" spans="1:10">
      <c r="A15" s="10">
        <v>5553</v>
      </c>
      <c r="B15" s="11">
        <v>16</v>
      </c>
      <c r="C15" s="11">
        <v>4</v>
      </c>
      <c r="D15" s="11">
        <v>2</v>
      </c>
      <c r="E15" s="2">
        <f t="shared" si="1"/>
        <v>0.5</v>
      </c>
      <c r="F15" s="11"/>
      <c r="G15" s="11"/>
      <c r="H15" s="11"/>
      <c r="I15" s="32"/>
      <c r="J15" s="11">
        <v>2</v>
      </c>
    </row>
    <row r="16" spans="1:10">
      <c r="A16" s="14">
        <v>5555</v>
      </c>
      <c r="B16" s="15">
        <v>54</v>
      </c>
      <c r="C16" s="15">
        <v>27</v>
      </c>
      <c r="D16" s="15">
        <v>12</v>
      </c>
      <c r="E16" s="2">
        <f t="shared" si="1"/>
        <v>0.44444444444444442</v>
      </c>
      <c r="F16" s="15"/>
      <c r="G16" s="15"/>
      <c r="H16" s="15"/>
      <c r="I16" s="32"/>
      <c r="J16" s="15" t="s">
        <v>26</v>
      </c>
    </row>
    <row r="17" spans="1:10">
      <c r="A17" s="14">
        <v>5556</v>
      </c>
      <c r="B17" s="15">
        <v>13</v>
      </c>
      <c r="C17" s="15">
        <v>7</v>
      </c>
      <c r="D17" s="15">
        <v>4</v>
      </c>
      <c r="E17" s="2">
        <f t="shared" si="1"/>
        <v>0.5714285714285714</v>
      </c>
      <c r="F17" s="15"/>
      <c r="G17" s="15"/>
      <c r="H17" s="15"/>
      <c r="I17" s="32"/>
      <c r="J17" s="15">
        <v>3</v>
      </c>
    </row>
    <row r="18" spans="1:10">
      <c r="A18" s="10">
        <v>5558</v>
      </c>
      <c r="B18" s="11">
        <v>18</v>
      </c>
      <c r="C18" s="11">
        <v>1</v>
      </c>
      <c r="D18" s="11">
        <v>0</v>
      </c>
      <c r="E18" s="2">
        <f t="shared" si="1"/>
        <v>0</v>
      </c>
      <c r="F18" s="11"/>
      <c r="G18" s="11"/>
      <c r="H18" s="11"/>
      <c r="I18" s="32"/>
      <c r="J18" s="11">
        <v>1</v>
      </c>
    </row>
    <row r="19" spans="1:10">
      <c r="A19" s="11"/>
      <c r="B19" s="11"/>
      <c r="C19" s="11"/>
      <c r="D19" s="12" t="s">
        <v>27</v>
      </c>
      <c r="E19" s="13">
        <f>AVERAGE(E2:E18)</f>
        <v>0.31171802054154996</v>
      </c>
      <c r="F19" s="11"/>
      <c r="G19" s="11"/>
      <c r="H19" s="11"/>
      <c r="I19" s="11"/>
      <c r="J19" s="11"/>
    </row>
  </sheetData>
  <mergeCells count="3">
    <mergeCell ref="I2:I7"/>
    <mergeCell ref="I8:I13"/>
    <mergeCell ref="I14:I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topLeftCell="C45" workbookViewId="0">
      <selection activeCell="F46" sqref="F46"/>
    </sheetView>
  </sheetViews>
  <sheetFormatPr defaultRowHeight="15"/>
  <cols>
    <col min="1" max="1" width="9.7109375" bestFit="1" customWidth="1"/>
    <col min="2" max="2" width="25.5703125" customWidth="1"/>
    <col min="3" max="3" width="43.28515625" customWidth="1"/>
    <col min="4" max="4" width="27.28515625" bestFit="1" customWidth="1"/>
    <col min="5" max="5" width="49.5703125" customWidth="1"/>
    <col min="6" max="6" width="37.28515625" style="9" customWidth="1"/>
    <col min="7" max="7" width="39.85546875" style="9" customWidth="1"/>
    <col min="8" max="8" width="24.85546875" customWidth="1"/>
    <col min="9" max="9" width="18.85546875" customWidth="1"/>
  </cols>
  <sheetData>
    <row r="1" spans="1:9" ht="30">
      <c r="A1" s="19" t="s">
        <v>28</v>
      </c>
      <c r="B1" s="19" t="s">
        <v>0</v>
      </c>
      <c r="C1" s="19" t="s">
        <v>29</v>
      </c>
      <c r="D1" s="19" t="s">
        <v>30</v>
      </c>
      <c r="E1" s="19" t="s">
        <v>31</v>
      </c>
      <c r="F1" s="19" t="s">
        <v>32</v>
      </c>
      <c r="G1" s="19" t="s">
        <v>33</v>
      </c>
      <c r="H1" s="19" t="s">
        <v>34</v>
      </c>
      <c r="I1" s="19" t="s">
        <v>35</v>
      </c>
    </row>
    <row r="2" spans="1:9" ht="300">
      <c r="A2" s="17">
        <v>45452</v>
      </c>
      <c r="B2" s="17"/>
      <c r="C2" s="21" t="s">
        <v>36</v>
      </c>
      <c r="D2" s="17" t="s">
        <v>37</v>
      </c>
      <c r="E2" s="17" t="s">
        <v>38</v>
      </c>
      <c r="F2" s="17" t="s">
        <v>39</v>
      </c>
      <c r="G2" s="17" t="s">
        <v>40</v>
      </c>
      <c r="H2" s="17" t="s">
        <v>41</v>
      </c>
      <c r="I2" s="14" t="s">
        <v>42</v>
      </c>
    </row>
    <row r="3" spans="1:9" ht="45.75">
      <c r="A3" s="17">
        <v>45442</v>
      </c>
      <c r="B3" s="17"/>
      <c r="C3" s="17" t="s">
        <v>43</v>
      </c>
      <c r="D3" s="34" t="s">
        <v>44</v>
      </c>
      <c r="E3" s="17" t="s">
        <v>45</v>
      </c>
      <c r="F3" s="34" t="s">
        <v>46</v>
      </c>
      <c r="G3" s="34"/>
      <c r="H3" s="17" t="s">
        <v>47</v>
      </c>
      <c r="I3" s="14" t="s">
        <v>42</v>
      </c>
    </row>
    <row r="4" spans="1:9" ht="60.75">
      <c r="A4" s="17">
        <v>45528</v>
      </c>
      <c r="B4" s="17"/>
      <c r="C4" s="17" t="s">
        <v>48</v>
      </c>
      <c r="D4" s="34"/>
      <c r="E4" s="17" t="s">
        <v>45</v>
      </c>
      <c r="F4" s="34" t="s">
        <v>46</v>
      </c>
      <c r="G4" s="34"/>
      <c r="H4" s="17" t="s">
        <v>47</v>
      </c>
      <c r="I4" s="14" t="s">
        <v>42</v>
      </c>
    </row>
    <row r="5" spans="1:9" ht="409.6">
      <c r="A5" s="17">
        <v>45436</v>
      </c>
      <c r="B5" s="21" t="s">
        <v>49</v>
      </c>
      <c r="C5" s="21" t="s">
        <v>50</v>
      </c>
      <c r="D5" s="17" t="s">
        <v>51</v>
      </c>
      <c r="E5" s="17" t="s">
        <v>38</v>
      </c>
      <c r="F5" s="17" t="s">
        <v>52</v>
      </c>
      <c r="G5" s="17" t="s">
        <v>53</v>
      </c>
      <c r="H5" s="17" t="s">
        <v>54</v>
      </c>
      <c r="I5" s="14" t="s">
        <v>42</v>
      </c>
    </row>
    <row r="6" spans="1:9" ht="409.6">
      <c r="A6" s="17">
        <v>45437</v>
      </c>
      <c r="B6" s="21" t="s">
        <v>49</v>
      </c>
      <c r="C6" s="5" t="s">
        <v>55</v>
      </c>
      <c r="D6" s="17" t="s">
        <v>51</v>
      </c>
      <c r="E6" s="17" t="s">
        <v>38</v>
      </c>
      <c r="F6" s="17" t="s">
        <v>56</v>
      </c>
      <c r="G6" s="17" t="s">
        <v>57</v>
      </c>
      <c r="H6" s="17" t="s">
        <v>54</v>
      </c>
      <c r="I6" s="14" t="s">
        <v>42</v>
      </c>
    </row>
    <row r="7" spans="1:9" ht="409.6">
      <c r="A7" s="17">
        <v>45623</v>
      </c>
      <c r="B7" s="5" t="s">
        <v>58</v>
      </c>
      <c r="C7" s="5" t="s">
        <v>59</v>
      </c>
      <c r="D7" s="17" t="s">
        <v>51</v>
      </c>
      <c r="E7" s="17" t="s">
        <v>38</v>
      </c>
      <c r="F7" s="17" t="s">
        <v>60</v>
      </c>
      <c r="G7" s="17" t="s">
        <v>53</v>
      </c>
      <c r="H7" s="17" t="s">
        <v>54</v>
      </c>
      <c r="I7" s="14" t="s">
        <v>42</v>
      </c>
    </row>
    <row r="8" spans="1:9" ht="409.6">
      <c r="A8" s="17">
        <v>45582</v>
      </c>
      <c r="B8" s="5" t="s">
        <v>61</v>
      </c>
      <c r="C8" s="5" t="s">
        <v>62</v>
      </c>
      <c r="D8" s="17" t="s">
        <v>51</v>
      </c>
      <c r="E8" s="17" t="s">
        <v>45</v>
      </c>
      <c r="F8" s="34" t="s">
        <v>46</v>
      </c>
      <c r="G8" s="34"/>
      <c r="H8" s="17" t="s">
        <v>54</v>
      </c>
      <c r="I8" s="14" t="s">
        <v>42</v>
      </c>
    </row>
    <row r="9" spans="1:9" ht="409.6">
      <c r="A9" s="17">
        <v>45601</v>
      </c>
      <c r="B9" s="5" t="s">
        <v>63</v>
      </c>
      <c r="C9" s="5" t="s">
        <v>64</v>
      </c>
      <c r="D9" s="17" t="s">
        <v>51</v>
      </c>
      <c r="E9" s="17" t="s">
        <v>38</v>
      </c>
      <c r="F9" s="17" t="s">
        <v>65</v>
      </c>
      <c r="G9" s="17" t="s">
        <v>53</v>
      </c>
      <c r="H9" s="17" t="s">
        <v>54</v>
      </c>
      <c r="I9" s="14" t="s">
        <v>42</v>
      </c>
    </row>
    <row r="10" spans="1:9" ht="409.6">
      <c r="A10" s="17">
        <v>45405</v>
      </c>
      <c r="B10" s="5" t="s">
        <v>66</v>
      </c>
      <c r="C10" s="5" t="s">
        <v>67</v>
      </c>
      <c r="D10" s="17" t="s">
        <v>51</v>
      </c>
      <c r="E10" s="17" t="s">
        <v>38</v>
      </c>
      <c r="F10" s="34" t="s">
        <v>46</v>
      </c>
      <c r="G10" s="34"/>
      <c r="H10" s="17" t="s">
        <v>54</v>
      </c>
      <c r="I10" s="14" t="s">
        <v>42</v>
      </c>
    </row>
    <row r="11" spans="1:9" ht="409.6">
      <c r="A11" s="17">
        <v>45549</v>
      </c>
      <c r="B11" s="5" t="s">
        <v>66</v>
      </c>
      <c r="C11" s="5" t="s">
        <v>68</v>
      </c>
      <c r="D11" s="17" t="s">
        <v>51</v>
      </c>
      <c r="E11" s="17" t="s">
        <v>38</v>
      </c>
      <c r="F11" s="34" t="s">
        <v>46</v>
      </c>
      <c r="G11" s="34"/>
      <c r="H11" s="17" t="s">
        <v>54</v>
      </c>
      <c r="I11" s="14" t="s">
        <v>42</v>
      </c>
    </row>
    <row r="12" spans="1:9" ht="409.6">
      <c r="A12" s="17">
        <v>45386</v>
      </c>
      <c r="B12" s="5" t="s">
        <v>58</v>
      </c>
      <c r="C12" s="5" t="s">
        <v>69</v>
      </c>
      <c r="D12" s="17" t="s">
        <v>51</v>
      </c>
      <c r="E12" s="17" t="s">
        <v>38</v>
      </c>
      <c r="F12" s="17" t="s">
        <v>70</v>
      </c>
      <c r="G12" s="17" t="s">
        <v>71</v>
      </c>
      <c r="H12" s="17" t="s">
        <v>54</v>
      </c>
      <c r="I12" s="14" t="s">
        <v>42</v>
      </c>
    </row>
    <row r="13" spans="1:9" ht="409.6">
      <c r="A13" s="17">
        <v>45516</v>
      </c>
      <c r="B13" s="5" t="s">
        <v>58</v>
      </c>
      <c r="C13" s="5" t="s">
        <v>72</v>
      </c>
      <c r="D13" s="17" t="s">
        <v>51</v>
      </c>
      <c r="E13" s="17" t="s">
        <v>38</v>
      </c>
      <c r="F13" s="17" t="s">
        <v>73</v>
      </c>
      <c r="G13" s="17" t="s">
        <v>74</v>
      </c>
      <c r="H13" s="17" t="s">
        <v>54</v>
      </c>
      <c r="I13" s="14" t="s">
        <v>42</v>
      </c>
    </row>
    <row r="14" spans="1:9" ht="45.75">
      <c r="A14" s="17">
        <v>45389</v>
      </c>
      <c r="B14" s="5"/>
      <c r="C14" s="5" t="s">
        <v>75</v>
      </c>
      <c r="D14" s="17" t="s">
        <v>51</v>
      </c>
      <c r="E14" s="17" t="s">
        <v>38</v>
      </c>
      <c r="F14" s="34" t="s">
        <v>46</v>
      </c>
      <c r="G14" s="34"/>
      <c r="H14" s="17" t="s">
        <v>54</v>
      </c>
      <c r="I14" s="14" t="s">
        <v>42</v>
      </c>
    </row>
    <row r="15" spans="1:9" ht="409.6">
      <c r="A15" s="17">
        <v>45413</v>
      </c>
      <c r="B15" s="5" t="s">
        <v>58</v>
      </c>
      <c r="C15" s="5" t="s">
        <v>76</v>
      </c>
      <c r="D15" s="17" t="s">
        <v>51</v>
      </c>
      <c r="E15" s="17" t="s">
        <v>77</v>
      </c>
      <c r="F15" s="34" t="s">
        <v>46</v>
      </c>
      <c r="G15" s="34"/>
      <c r="H15" s="17" t="s">
        <v>54</v>
      </c>
      <c r="I15" s="14" t="s">
        <v>42</v>
      </c>
    </row>
    <row r="16" spans="1:9" ht="409.6">
      <c r="A16" s="17">
        <v>45414</v>
      </c>
      <c r="B16" s="5" t="s">
        <v>58</v>
      </c>
      <c r="C16" s="5" t="s">
        <v>78</v>
      </c>
      <c r="D16" s="17" t="s">
        <v>51</v>
      </c>
      <c r="E16" s="17" t="s">
        <v>38</v>
      </c>
      <c r="F16" s="34" t="s">
        <v>46</v>
      </c>
      <c r="G16" s="34"/>
      <c r="H16" s="17" t="s">
        <v>54</v>
      </c>
      <c r="I16" s="14" t="s">
        <v>42</v>
      </c>
    </row>
    <row r="17" spans="1:9" ht="409.6">
      <c r="A17" s="17">
        <v>45415</v>
      </c>
      <c r="B17" s="5" t="s">
        <v>58</v>
      </c>
      <c r="C17" s="5" t="s">
        <v>79</v>
      </c>
      <c r="D17" s="17" t="s">
        <v>51</v>
      </c>
      <c r="E17" s="17"/>
      <c r="F17" s="34" t="s">
        <v>46</v>
      </c>
      <c r="G17" s="34"/>
      <c r="H17" s="17" t="s">
        <v>54</v>
      </c>
      <c r="I17" s="14" t="s">
        <v>42</v>
      </c>
    </row>
    <row r="18" spans="1:9" ht="409.6">
      <c r="A18" s="17">
        <v>45550</v>
      </c>
      <c r="B18" s="5" t="s">
        <v>58</v>
      </c>
      <c r="C18" s="5" t="s">
        <v>80</v>
      </c>
      <c r="D18" s="17" t="s">
        <v>51</v>
      </c>
      <c r="E18" s="17"/>
      <c r="F18" s="17" t="s">
        <v>81</v>
      </c>
      <c r="G18" s="17" t="s">
        <v>82</v>
      </c>
      <c r="H18" s="17" t="s">
        <v>54</v>
      </c>
      <c r="I18" s="14" t="s">
        <v>42</v>
      </c>
    </row>
    <row r="19" spans="1:9" ht="409.6">
      <c r="A19" s="17">
        <v>45603</v>
      </c>
      <c r="B19" s="17" t="s">
        <v>83</v>
      </c>
      <c r="C19" s="17" t="s">
        <v>84</v>
      </c>
      <c r="D19" s="17" t="s">
        <v>51</v>
      </c>
      <c r="E19" s="17"/>
      <c r="F19" s="34" t="s">
        <v>46</v>
      </c>
      <c r="G19" s="34"/>
      <c r="H19" s="17" t="s">
        <v>85</v>
      </c>
      <c r="I19" s="14" t="s">
        <v>42</v>
      </c>
    </row>
    <row r="20" spans="1:9" ht="409.6">
      <c r="A20" s="17">
        <v>45434</v>
      </c>
      <c r="B20" s="17" t="s">
        <v>83</v>
      </c>
      <c r="C20" s="17" t="s">
        <v>86</v>
      </c>
      <c r="D20" s="34" t="s">
        <v>87</v>
      </c>
      <c r="E20" s="14"/>
      <c r="F20" s="17" t="s">
        <v>88</v>
      </c>
      <c r="G20" s="17" t="s">
        <v>89</v>
      </c>
      <c r="H20" s="17" t="s">
        <v>90</v>
      </c>
      <c r="I20" s="14" t="s">
        <v>42</v>
      </c>
    </row>
    <row r="21" spans="1:9" ht="409.6">
      <c r="A21" s="17">
        <v>45461</v>
      </c>
      <c r="B21" s="17" t="s">
        <v>83</v>
      </c>
      <c r="C21" s="17" t="s">
        <v>91</v>
      </c>
      <c r="D21" s="34"/>
      <c r="E21" s="14"/>
      <c r="F21" s="34" t="s">
        <v>46</v>
      </c>
      <c r="G21" s="34"/>
      <c r="H21" s="17" t="s">
        <v>54</v>
      </c>
      <c r="I21" s="14" t="s">
        <v>42</v>
      </c>
    </row>
    <row r="22" spans="1:9" ht="409.6">
      <c r="A22" s="17">
        <v>45472</v>
      </c>
      <c r="B22" s="17" t="s">
        <v>83</v>
      </c>
      <c r="C22" s="17" t="s">
        <v>92</v>
      </c>
      <c r="D22" s="34"/>
      <c r="E22" s="14"/>
      <c r="F22" s="17" t="s">
        <v>93</v>
      </c>
      <c r="G22" s="17" t="s">
        <v>94</v>
      </c>
      <c r="H22" s="17" t="s">
        <v>54</v>
      </c>
      <c r="I22" s="14" t="s">
        <v>42</v>
      </c>
    </row>
    <row r="23" spans="1:9" ht="409.6">
      <c r="A23" s="17">
        <v>45518</v>
      </c>
      <c r="B23" s="17" t="s">
        <v>95</v>
      </c>
      <c r="C23" s="17" t="s">
        <v>96</v>
      </c>
      <c r="D23" s="17" t="s">
        <v>97</v>
      </c>
      <c r="E23" s="14"/>
      <c r="F23" s="17" t="s">
        <v>98</v>
      </c>
      <c r="G23" s="17" t="s">
        <v>99</v>
      </c>
      <c r="H23" s="17" t="s">
        <v>100</v>
      </c>
      <c r="I23" s="14" t="s">
        <v>42</v>
      </c>
    </row>
    <row r="24" spans="1:9" ht="381.75">
      <c r="A24" s="17">
        <v>45372</v>
      </c>
      <c r="B24" s="17" t="s">
        <v>101</v>
      </c>
      <c r="C24" s="17" t="s">
        <v>102</v>
      </c>
      <c r="D24" s="33" t="s">
        <v>103</v>
      </c>
      <c r="E24" s="14" t="s">
        <v>104</v>
      </c>
      <c r="F24" s="34" t="s">
        <v>105</v>
      </c>
      <c r="G24" s="34"/>
      <c r="H24" s="34"/>
      <c r="I24" s="14" t="s">
        <v>42</v>
      </c>
    </row>
    <row r="25" spans="1:9" ht="409.6">
      <c r="A25" s="17">
        <v>45293</v>
      </c>
      <c r="B25" s="17" t="s">
        <v>101</v>
      </c>
      <c r="C25" s="17" t="s">
        <v>106</v>
      </c>
      <c r="D25" s="33"/>
      <c r="E25" s="17" t="s">
        <v>107</v>
      </c>
      <c r="F25" s="17" t="s">
        <v>108</v>
      </c>
      <c r="G25" s="14" t="s">
        <v>109</v>
      </c>
      <c r="H25" s="14" t="s">
        <v>90</v>
      </c>
      <c r="I25" s="14" t="s">
        <v>42</v>
      </c>
    </row>
    <row r="26" spans="1:9" ht="381.75">
      <c r="A26" s="17">
        <v>45298</v>
      </c>
      <c r="B26" s="17" t="s">
        <v>101</v>
      </c>
      <c r="C26" s="17" t="s">
        <v>110</v>
      </c>
      <c r="D26" s="33"/>
      <c r="E26" s="17" t="s">
        <v>111</v>
      </c>
      <c r="F26" s="17" t="s">
        <v>112</v>
      </c>
      <c r="G26" s="17" t="s">
        <v>113</v>
      </c>
      <c r="H26" s="14" t="s">
        <v>85</v>
      </c>
      <c r="I26" s="14" t="s">
        <v>42</v>
      </c>
    </row>
    <row r="27" spans="1:9" ht="409.6">
      <c r="A27" s="17">
        <v>45299</v>
      </c>
      <c r="B27" s="17" t="s">
        <v>114</v>
      </c>
      <c r="C27" s="17" t="s">
        <v>115</v>
      </c>
      <c r="D27" s="14" t="s">
        <v>116</v>
      </c>
      <c r="E27" s="14" t="s">
        <v>117</v>
      </c>
      <c r="F27" s="17" t="s">
        <v>118</v>
      </c>
      <c r="G27" s="17" t="s">
        <v>119</v>
      </c>
      <c r="H27" s="14" t="s">
        <v>90</v>
      </c>
      <c r="I27" s="14" t="s">
        <v>42</v>
      </c>
    </row>
    <row r="28" spans="1:9" ht="409.6">
      <c r="A28" s="17">
        <v>45339</v>
      </c>
      <c r="B28" s="17" t="s">
        <v>120</v>
      </c>
      <c r="C28" s="17" t="s">
        <v>121</v>
      </c>
      <c r="D28" s="33" t="s">
        <v>122</v>
      </c>
      <c r="E28" s="14" t="s">
        <v>123</v>
      </c>
      <c r="F28" s="17" t="s">
        <v>124</v>
      </c>
      <c r="G28" s="17" t="s">
        <v>125</v>
      </c>
      <c r="H28" s="14" t="s">
        <v>54</v>
      </c>
      <c r="I28" s="14" t="s">
        <v>42</v>
      </c>
    </row>
    <row r="29" spans="1:9" ht="409.6">
      <c r="A29" s="17">
        <v>45341</v>
      </c>
      <c r="B29" s="17" t="s">
        <v>120</v>
      </c>
      <c r="C29" s="17" t="s">
        <v>126</v>
      </c>
      <c r="D29" s="33"/>
      <c r="E29" s="14" t="s">
        <v>127</v>
      </c>
      <c r="F29" s="34" t="s">
        <v>105</v>
      </c>
      <c r="G29" s="34"/>
      <c r="H29" s="34"/>
      <c r="I29" s="14" t="s">
        <v>42</v>
      </c>
    </row>
    <row r="30" spans="1:9" ht="409.6">
      <c r="A30" s="17">
        <v>45297</v>
      </c>
      <c r="B30" s="17" t="s">
        <v>128</v>
      </c>
      <c r="C30" s="17" t="s">
        <v>129</v>
      </c>
      <c r="D30" s="14" t="s">
        <v>130</v>
      </c>
      <c r="E30" s="17" t="s">
        <v>131</v>
      </c>
      <c r="F30" s="17" t="s">
        <v>132</v>
      </c>
      <c r="G30" s="17" t="s">
        <v>133</v>
      </c>
      <c r="H30" s="14" t="s">
        <v>90</v>
      </c>
      <c r="I30" s="14" t="s">
        <v>42</v>
      </c>
    </row>
    <row r="31" spans="1:9" ht="409.6">
      <c r="A31" s="17">
        <v>45306</v>
      </c>
      <c r="B31" s="17" t="s">
        <v>134</v>
      </c>
      <c r="C31" s="17" t="s">
        <v>135</v>
      </c>
      <c r="D31" s="33" t="s">
        <v>136</v>
      </c>
      <c r="E31" s="17" t="s">
        <v>137</v>
      </c>
      <c r="F31" s="17" t="s">
        <v>138</v>
      </c>
      <c r="G31" s="14" t="s">
        <v>139</v>
      </c>
      <c r="H31" s="14" t="s">
        <v>90</v>
      </c>
      <c r="I31" s="14" t="s">
        <v>42</v>
      </c>
    </row>
    <row r="32" spans="1:9" ht="409.6">
      <c r="A32" s="17">
        <v>45333</v>
      </c>
      <c r="B32" s="17" t="s">
        <v>134</v>
      </c>
      <c r="C32" s="17" t="s">
        <v>140</v>
      </c>
      <c r="D32" s="33"/>
      <c r="E32" s="17" t="s">
        <v>141</v>
      </c>
      <c r="F32" s="34" t="s">
        <v>105</v>
      </c>
      <c r="G32" s="34"/>
      <c r="H32" s="34"/>
      <c r="I32" s="14" t="s">
        <v>42</v>
      </c>
    </row>
    <row r="33" spans="1:9" ht="409.6">
      <c r="A33" s="17">
        <v>45371</v>
      </c>
      <c r="B33" s="17" t="s">
        <v>134</v>
      </c>
      <c r="C33" s="17" t="s">
        <v>142</v>
      </c>
      <c r="D33" s="33"/>
      <c r="E33" s="14" t="s">
        <v>143</v>
      </c>
      <c r="F33" s="17" t="s">
        <v>144</v>
      </c>
      <c r="G33" s="14" t="s">
        <v>145</v>
      </c>
      <c r="H33" s="14" t="s">
        <v>85</v>
      </c>
      <c r="I33" s="14" t="s">
        <v>42</v>
      </c>
    </row>
    <row r="34" spans="1:9" ht="409.6">
      <c r="A34" s="17">
        <v>43090</v>
      </c>
      <c r="B34" s="17" t="s">
        <v>146</v>
      </c>
      <c r="C34" s="17" t="s">
        <v>147</v>
      </c>
      <c r="D34" s="34" t="s">
        <v>148</v>
      </c>
      <c r="E34" s="14" t="s">
        <v>143</v>
      </c>
      <c r="F34" s="17" t="s">
        <v>149</v>
      </c>
      <c r="G34" s="17" t="s">
        <v>150</v>
      </c>
      <c r="H34" s="17" t="s">
        <v>90</v>
      </c>
      <c r="I34" s="14" t="s">
        <v>42</v>
      </c>
    </row>
    <row r="35" spans="1:9" ht="409.6">
      <c r="A35" s="17">
        <v>43115</v>
      </c>
      <c r="B35" s="17" t="s">
        <v>146</v>
      </c>
      <c r="C35" s="17" t="s">
        <v>151</v>
      </c>
      <c r="D35" s="34"/>
      <c r="E35" s="14" t="s">
        <v>152</v>
      </c>
      <c r="F35" s="17" t="s">
        <v>153</v>
      </c>
      <c r="G35" s="17" t="s">
        <v>154</v>
      </c>
      <c r="H35" s="17" t="s">
        <v>155</v>
      </c>
      <c r="I35" s="14" t="s">
        <v>42</v>
      </c>
    </row>
    <row r="36" spans="1:9" ht="409.6">
      <c r="A36" s="17">
        <v>43081</v>
      </c>
      <c r="B36" s="17" t="s">
        <v>156</v>
      </c>
      <c r="C36" s="17" t="s">
        <v>157</v>
      </c>
      <c r="D36" s="17" t="s">
        <v>158</v>
      </c>
      <c r="E36" s="14" t="s">
        <v>159</v>
      </c>
      <c r="F36" s="17" t="s">
        <v>160</v>
      </c>
      <c r="G36" s="17" t="s">
        <v>161</v>
      </c>
      <c r="H36" s="17" t="s">
        <v>155</v>
      </c>
      <c r="I36" s="14" t="s">
        <v>42</v>
      </c>
    </row>
    <row r="37" spans="1:9" ht="409.6">
      <c r="A37" s="17">
        <v>42887</v>
      </c>
      <c r="B37" s="17" t="s">
        <v>162</v>
      </c>
      <c r="C37" s="17" t="s">
        <v>163</v>
      </c>
      <c r="D37" s="33" t="s">
        <v>164</v>
      </c>
      <c r="E37" s="14" t="s">
        <v>165</v>
      </c>
      <c r="F37" s="17" t="s">
        <v>166</v>
      </c>
      <c r="G37" s="17" t="s">
        <v>167</v>
      </c>
      <c r="H37" s="14" t="s">
        <v>168</v>
      </c>
      <c r="I37" s="14" t="s">
        <v>42</v>
      </c>
    </row>
    <row r="38" spans="1:9" ht="409.6">
      <c r="A38" s="17">
        <v>42903</v>
      </c>
      <c r="B38" s="17" t="s">
        <v>169</v>
      </c>
      <c r="C38" s="17" t="s">
        <v>170</v>
      </c>
      <c r="D38" s="33"/>
      <c r="E38" t="s">
        <v>171</v>
      </c>
      <c r="F38" s="17" t="s">
        <v>172</v>
      </c>
      <c r="G38" s="17" t="s">
        <v>173</v>
      </c>
      <c r="H38" s="14" t="s">
        <v>90</v>
      </c>
      <c r="I38" s="14" t="s">
        <v>42</v>
      </c>
    </row>
    <row r="39" spans="1:9" ht="409.6">
      <c r="A39" s="17">
        <v>43001</v>
      </c>
      <c r="B39" s="17" t="s">
        <v>169</v>
      </c>
      <c r="C39" s="17" t="s">
        <v>174</v>
      </c>
      <c r="D39" s="33"/>
      <c r="E39" s="14" t="s">
        <v>175</v>
      </c>
      <c r="F39" s="17" t="s">
        <v>176</v>
      </c>
      <c r="G39" s="17" t="s">
        <v>177</v>
      </c>
      <c r="H39" s="14" t="s">
        <v>54</v>
      </c>
      <c r="I39" s="14" t="s">
        <v>42</v>
      </c>
    </row>
    <row r="40" spans="1:9" ht="409.6">
      <c r="A40" s="17">
        <v>43202</v>
      </c>
      <c r="B40" s="17" t="s">
        <v>169</v>
      </c>
      <c r="C40" s="17" t="s">
        <v>178</v>
      </c>
      <c r="D40" s="33"/>
      <c r="E40" s="14" t="s">
        <v>179</v>
      </c>
      <c r="F40" s="17" t="s">
        <v>180</v>
      </c>
      <c r="G40" s="17" t="s">
        <v>181</v>
      </c>
      <c r="H40" s="14" t="s">
        <v>54</v>
      </c>
      <c r="I40" s="14" t="s">
        <v>42</v>
      </c>
    </row>
    <row r="41" spans="1:9" ht="409.6">
      <c r="A41" s="17">
        <v>43207</v>
      </c>
      <c r="B41" s="17" t="s">
        <v>169</v>
      </c>
      <c r="C41" s="17" t="s">
        <v>182</v>
      </c>
      <c r="D41" s="33"/>
      <c r="E41" s="17" t="s">
        <v>183</v>
      </c>
      <c r="F41" s="17" t="s">
        <v>184</v>
      </c>
      <c r="G41" s="17" t="s">
        <v>185</v>
      </c>
      <c r="H41" s="14" t="s">
        <v>85</v>
      </c>
      <c r="I41" s="14" t="s">
        <v>42</v>
      </c>
    </row>
    <row r="42" spans="1:9" ht="409.5" customHeight="1">
      <c r="A42" s="17">
        <v>43227</v>
      </c>
      <c r="B42" s="17" t="s">
        <v>169</v>
      </c>
      <c r="C42" s="17" t="s">
        <v>186</v>
      </c>
      <c r="D42" s="33"/>
      <c r="E42" s="10" t="s">
        <v>187</v>
      </c>
      <c r="F42" s="17" t="s">
        <v>180</v>
      </c>
      <c r="G42" s="17" t="s">
        <v>181</v>
      </c>
      <c r="H42" s="14" t="s">
        <v>54</v>
      </c>
      <c r="I42" s="14" t="s">
        <v>42</v>
      </c>
    </row>
    <row r="43" spans="1:9" ht="409.6">
      <c r="A43" s="17">
        <v>43239</v>
      </c>
      <c r="B43" s="17" t="s">
        <v>169</v>
      </c>
      <c r="C43" s="17" t="s">
        <v>188</v>
      </c>
      <c r="D43" s="33"/>
      <c r="E43" s="10" t="s">
        <v>189</v>
      </c>
      <c r="F43" s="17" t="s">
        <v>184</v>
      </c>
      <c r="G43" s="17" t="s">
        <v>185</v>
      </c>
      <c r="H43" s="14" t="s">
        <v>85</v>
      </c>
      <c r="I43" s="14" t="s">
        <v>42</v>
      </c>
    </row>
    <row r="44" spans="1:9" ht="409.6">
      <c r="A44" s="17">
        <v>43166</v>
      </c>
      <c r="B44" s="17" t="s">
        <v>190</v>
      </c>
      <c r="C44" s="17" t="s">
        <v>191</v>
      </c>
      <c r="D44" s="14" t="s">
        <v>192</v>
      </c>
      <c r="E44" s="10" t="s">
        <v>193</v>
      </c>
      <c r="F44" s="17" t="s">
        <v>194</v>
      </c>
      <c r="G44" s="17" t="s">
        <v>195</v>
      </c>
      <c r="H44" s="14" t="s">
        <v>90</v>
      </c>
      <c r="I44" s="14" t="s">
        <v>42</v>
      </c>
    </row>
    <row r="45" spans="1:9" ht="409.6">
      <c r="A45" s="29">
        <v>43165</v>
      </c>
      <c r="B45" s="29" t="s">
        <v>196</v>
      </c>
      <c r="C45" s="29" t="s">
        <v>197</v>
      </c>
      <c r="D45" s="29" t="s">
        <v>198</v>
      </c>
      <c r="E45" s="30" t="s">
        <v>199</v>
      </c>
      <c r="F45" s="29" t="s">
        <v>200</v>
      </c>
      <c r="G45" s="29" t="s">
        <v>201</v>
      </c>
      <c r="H45" s="29" t="s">
        <v>85</v>
      </c>
      <c r="I45" s="31" t="s">
        <v>42</v>
      </c>
    </row>
    <row r="46" spans="1:9" ht="409.6">
      <c r="A46" s="27">
        <v>43041</v>
      </c>
      <c r="B46" s="28" t="s">
        <v>156</v>
      </c>
      <c r="C46" s="28" t="s">
        <v>202</v>
      </c>
      <c r="D46" s="27"/>
      <c r="E46" s="27" t="s">
        <v>203</v>
      </c>
      <c r="F46" s="28"/>
      <c r="G46" s="28"/>
      <c r="H46" s="27"/>
      <c r="I46" s="27"/>
    </row>
  </sheetData>
  <mergeCells count="21">
    <mergeCell ref="F32:H32"/>
    <mergeCell ref="F21:G21"/>
    <mergeCell ref="F11:G11"/>
    <mergeCell ref="F14:G14"/>
    <mergeCell ref="F15:G15"/>
    <mergeCell ref="F16:G16"/>
    <mergeCell ref="F17:G17"/>
    <mergeCell ref="F19:G19"/>
    <mergeCell ref="F8:G8"/>
    <mergeCell ref="F10:G10"/>
    <mergeCell ref="F3:G3"/>
    <mergeCell ref="F4:G4"/>
    <mergeCell ref="F29:H29"/>
    <mergeCell ref="F24:H24"/>
    <mergeCell ref="D31:D33"/>
    <mergeCell ref="D34:D35"/>
    <mergeCell ref="D37:D43"/>
    <mergeCell ref="D3:D4"/>
    <mergeCell ref="D20:D22"/>
    <mergeCell ref="D24:D26"/>
    <mergeCell ref="D28:D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D45"/>
  <sheetViews>
    <sheetView tabSelected="1" zoomScaleNormal="100" workbookViewId="0">
      <selection activeCell="D4" sqref="D4"/>
    </sheetView>
  </sheetViews>
  <sheetFormatPr defaultRowHeight="15"/>
  <cols>
    <col min="1" max="1" width="16.5703125" bestFit="1" customWidth="1"/>
    <col min="2" max="2" width="11.5703125" customWidth="1"/>
    <col min="3" max="3" width="8.7109375" bestFit="1" customWidth="1"/>
    <col min="4" max="4" width="80.28515625" customWidth="1"/>
  </cols>
  <sheetData>
    <row r="1" spans="1:4">
      <c r="A1" s="20" t="s">
        <v>30</v>
      </c>
      <c r="B1" t="s">
        <v>204</v>
      </c>
      <c r="C1" t="s">
        <v>205</v>
      </c>
      <c r="D1" t="s">
        <v>206</v>
      </c>
    </row>
    <row r="2" spans="1:4" ht="30.75">
      <c r="A2" s="14" t="s">
        <v>37</v>
      </c>
      <c r="B2">
        <v>45386</v>
      </c>
      <c r="C2">
        <v>5555</v>
      </c>
      <c r="D2" s="9" t="s">
        <v>207</v>
      </c>
    </row>
    <row r="3" spans="1:4">
      <c r="A3" s="14" t="s">
        <v>44</v>
      </c>
      <c r="B3">
        <v>45389</v>
      </c>
      <c r="C3">
        <v>5555</v>
      </c>
      <c r="D3" t="s">
        <v>208</v>
      </c>
    </row>
    <row r="4" spans="1:4" ht="45.75">
      <c r="A4" s="14" t="s">
        <v>44</v>
      </c>
      <c r="B4">
        <v>45405</v>
      </c>
      <c r="C4">
        <v>5555</v>
      </c>
      <c r="D4" s="9" t="s">
        <v>209</v>
      </c>
    </row>
    <row r="5" spans="1:4">
      <c r="A5" s="14" t="s">
        <v>51</v>
      </c>
      <c r="B5">
        <v>45413</v>
      </c>
      <c r="C5">
        <v>5555</v>
      </c>
      <c r="D5" t="s">
        <v>210</v>
      </c>
    </row>
    <row r="6" spans="1:4">
      <c r="A6" s="14" t="s">
        <v>51</v>
      </c>
      <c r="B6">
        <v>45414</v>
      </c>
      <c r="C6">
        <v>5555</v>
      </c>
      <c r="D6" t="s">
        <v>211</v>
      </c>
    </row>
    <row r="7" spans="1:4">
      <c r="A7" s="14" t="s">
        <v>51</v>
      </c>
      <c r="B7">
        <v>45415</v>
      </c>
      <c r="C7">
        <v>5555</v>
      </c>
      <c r="D7" t="s">
        <v>212</v>
      </c>
    </row>
    <row r="8" spans="1:4">
      <c r="A8" s="14" t="s">
        <v>51</v>
      </c>
      <c r="B8">
        <v>45434</v>
      </c>
      <c r="C8">
        <v>5556</v>
      </c>
      <c r="D8" t="s">
        <v>213</v>
      </c>
    </row>
    <row r="9" spans="1:4">
      <c r="A9" s="14" t="s">
        <v>51</v>
      </c>
      <c r="B9">
        <v>45436</v>
      </c>
      <c r="C9">
        <v>5555</v>
      </c>
      <c r="D9" t="s">
        <v>214</v>
      </c>
    </row>
    <row r="10" spans="1:4">
      <c r="A10" s="14" t="s">
        <v>51</v>
      </c>
      <c r="B10">
        <v>45437</v>
      </c>
      <c r="C10">
        <v>5555</v>
      </c>
      <c r="D10" t="s">
        <v>215</v>
      </c>
    </row>
    <row r="11" spans="1:4">
      <c r="A11" s="14" t="s">
        <v>51</v>
      </c>
      <c r="B11">
        <v>45442</v>
      </c>
      <c r="C11">
        <v>5553</v>
      </c>
      <c r="D11" t="s">
        <v>216</v>
      </c>
    </row>
    <row r="12" spans="1:4">
      <c r="A12" s="14" t="s">
        <v>51</v>
      </c>
      <c r="B12">
        <v>45452</v>
      </c>
      <c r="C12">
        <v>5552</v>
      </c>
      <c r="D12" t="s">
        <v>217</v>
      </c>
    </row>
    <row r="13" spans="1:4">
      <c r="A13" s="14" t="s">
        <v>51</v>
      </c>
      <c r="B13">
        <v>45461</v>
      </c>
      <c r="C13">
        <v>5556</v>
      </c>
      <c r="D13" t="s">
        <v>218</v>
      </c>
    </row>
    <row r="14" spans="1:4">
      <c r="A14" s="14" t="s">
        <v>51</v>
      </c>
      <c r="B14">
        <v>45472</v>
      </c>
      <c r="C14">
        <v>5556</v>
      </c>
      <c r="D14" t="s">
        <v>219</v>
      </c>
    </row>
    <row r="15" spans="1:4">
      <c r="A15" s="14" t="s">
        <v>51</v>
      </c>
      <c r="B15">
        <v>45516</v>
      </c>
      <c r="C15">
        <v>5555</v>
      </c>
      <c r="D15" t="s">
        <v>220</v>
      </c>
    </row>
    <row r="16" spans="1:4">
      <c r="A16" s="14" t="s">
        <v>51</v>
      </c>
      <c r="B16">
        <v>45518</v>
      </c>
      <c r="C16">
        <v>5558</v>
      </c>
      <c r="D16" t="s">
        <v>221</v>
      </c>
    </row>
    <row r="17" spans="1:4">
      <c r="A17" s="14" t="s">
        <v>51</v>
      </c>
      <c r="B17">
        <v>45528</v>
      </c>
      <c r="C17">
        <v>5553</v>
      </c>
      <c r="D17" t="s">
        <v>222</v>
      </c>
    </row>
    <row r="18" spans="1:4" ht="30.75">
      <c r="A18" s="14" t="s">
        <v>51</v>
      </c>
      <c r="B18">
        <v>45549</v>
      </c>
      <c r="C18">
        <v>5555</v>
      </c>
      <c r="D18" s="9" t="s">
        <v>223</v>
      </c>
    </row>
    <row r="19" spans="1:4">
      <c r="A19" s="14" t="s">
        <v>51</v>
      </c>
      <c r="B19">
        <v>45550</v>
      </c>
      <c r="C19">
        <v>5555</v>
      </c>
      <c r="D19" t="s">
        <v>224</v>
      </c>
    </row>
    <row r="20" spans="1:4">
      <c r="A20" s="14" t="s">
        <v>87</v>
      </c>
      <c r="B20">
        <v>45582</v>
      </c>
      <c r="C20">
        <v>5555</v>
      </c>
      <c r="D20" t="s">
        <v>225</v>
      </c>
    </row>
    <row r="21" spans="1:4">
      <c r="A21" s="14" t="s">
        <v>87</v>
      </c>
      <c r="B21">
        <v>45601</v>
      </c>
      <c r="C21">
        <v>5555</v>
      </c>
      <c r="D21" t="s">
        <v>226</v>
      </c>
    </row>
    <row r="22" spans="1:4">
      <c r="A22" s="14" t="s">
        <v>87</v>
      </c>
      <c r="B22">
        <v>45603</v>
      </c>
      <c r="C22">
        <v>5555</v>
      </c>
      <c r="D22" t="s">
        <v>227</v>
      </c>
    </row>
    <row r="23" spans="1:4" ht="30.75">
      <c r="A23" s="14" t="s">
        <v>97</v>
      </c>
      <c r="B23">
        <v>45623</v>
      </c>
      <c r="C23">
        <v>5555</v>
      </c>
      <c r="D23" s="9" t="s">
        <v>228</v>
      </c>
    </row>
    <row r="24" spans="1:4" hidden="1">
      <c r="A24" s="14" t="s">
        <v>103</v>
      </c>
      <c r="B24">
        <v>45293</v>
      </c>
      <c r="C24" t="s">
        <v>18</v>
      </c>
      <c r="D24" t="s">
        <v>229</v>
      </c>
    </row>
    <row r="25" spans="1:4" hidden="1">
      <c r="A25" s="14" t="s">
        <v>230</v>
      </c>
      <c r="B25">
        <v>45297</v>
      </c>
      <c r="C25" t="s">
        <v>23</v>
      </c>
      <c r="D25" t="s">
        <v>231</v>
      </c>
    </row>
    <row r="26" spans="1:4" hidden="1">
      <c r="A26" s="14" t="s">
        <v>230</v>
      </c>
      <c r="B26">
        <v>45298</v>
      </c>
      <c r="C26" t="s">
        <v>18</v>
      </c>
      <c r="D26" t="s">
        <v>232</v>
      </c>
    </row>
    <row r="27" spans="1:4" hidden="1">
      <c r="A27" s="14" t="s">
        <v>116</v>
      </c>
      <c r="B27">
        <v>45299</v>
      </c>
      <c r="C27" t="s">
        <v>20</v>
      </c>
      <c r="D27" t="s">
        <v>233</v>
      </c>
    </row>
    <row r="28" spans="1:4" hidden="1">
      <c r="A28" s="14" t="s">
        <v>122</v>
      </c>
      <c r="B28">
        <v>45306</v>
      </c>
      <c r="C28" t="s">
        <v>24</v>
      </c>
      <c r="D28" t="s">
        <v>234</v>
      </c>
    </row>
    <row r="29" spans="1:4" hidden="1">
      <c r="A29" s="14" t="s">
        <v>122</v>
      </c>
      <c r="B29">
        <v>45333</v>
      </c>
      <c r="C29" t="s">
        <v>24</v>
      </c>
      <c r="D29" t="s">
        <v>235</v>
      </c>
    </row>
    <row r="30" spans="1:4" hidden="1">
      <c r="A30" s="14" t="s">
        <v>130</v>
      </c>
      <c r="B30">
        <v>45339</v>
      </c>
      <c r="C30" t="s">
        <v>21</v>
      </c>
      <c r="D30" t="s">
        <v>236</v>
      </c>
    </row>
    <row r="31" spans="1:4" hidden="1">
      <c r="A31" s="14" t="s">
        <v>136</v>
      </c>
      <c r="B31">
        <v>45341</v>
      </c>
      <c r="C31" t="s">
        <v>21</v>
      </c>
      <c r="D31" t="s">
        <v>237</v>
      </c>
    </row>
    <row r="32" spans="1:4" hidden="1">
      <c r="A32" s="14" t="s">
        <v>136</v>
      </c>
      <c r="B32">
        <v>45371</v>
      </c>
      <c r="C32" t="s">
        <v>24</v>
      </c>
      <c r="D32" t="s">
        <v>238</v>
      </c>
    </row>
    <row r="33" spans="1:4" hidden="1">
      <c r="A33" s="14" t="s">
        <v>136</v>
      </c>
      <c r="B33">
        <v>45372</v>
      </c>
      <c r="C33" t="s">
        <v>18</v>
      </c>
      <c r="D33" t="s">
        <v>239</v>
      </c>
    </row>
    <row r="34" spans="1:4" hidden="1">
      <c r="A34" s="14" t="s">
        <v>148</v>
      </c>
      <c r="B34">
        <v>42887</v>
      </c>
      <c r="C34" t="s">
        <v>240</v>
      </c>
      <c r="D34" t="s">
        <v>241</v>
      </c>
    </row>
    <row r="35" spans="1:4" hidden="1">
      <c r="A35" s="14" t="s">
        <v>148</v>
      </c>
      <c r="B35">
        <v>42903</v>
      </c>
      <c r="C35" t="s">
        <v>240</v>
      </c>
      <c r="D35" t="s">
        <v>242</v>
      </c>
    </row>
    <row r="36" spans="1:4" hidden="1">
      <c r="A36" s="14" t="s">
        <v>158</v>
      </c>
      <c r="B36">
        <v>43001</v>
      </c>
      <c r="C36" t="s">
        <v>240</v>
      </c>
      <c r="D36" t="s">
        <v>243</v>
      </c>
    </row>
    <row r="37" spans="1:4" hidden="1">
      <c r="A37" s="14" t="s">
        <v>164</v>
      </c>
      <c r="B37">
        <v>43081</v>
      </c>
      <c r="C37" t="s">
        <v>12</v>
      </c>
      <c r="D37" t="s">
        <v>244</v>
      </c>
    </row>
    <row r="38" spans="1:4" hidden="1">
      <c r="A38" s="14" t="s">
        <v>164</v>
      </c>
      <c r="B38">
        <v>43090</v>
      </c>
      <c r="C38" t="s">
        <v>10</v>
      </c>
      <c r="D38" t="s">
        <v>245</v>
      </c>
    </row>
    <row r="39" spans="1:4" hidden="1">
      <c r="A39" s="14" t="s">
        <v>164</v>
      </c>
      <c r="B39">
        <v>43115</v>
      </c>
      <c r="C39" t="s">
        <v>10</v>
      </c>
      <c r="D39" t="s">
        <v>246</v>
      </c>
    </row>
    <row r="40" spans="1:4" hidden="1">
      <c r="A40" s="14" t="s">
        <v>164</v>
      </c>
      <c r="B40">
        <v>43165</v>
      </c>
      <c r="C40" t="s">
        <v>17</v>
      </c>
      <c r="D40" t="s">
        <v>247</v>
      </c>
    </row>
    <row r="41" spans="1:4" hidden="1">
      <c r="A41" s="14" t="s">
        <v>164</v>
      </c>
      <c r="B41">
        <v>43166</v>
      </c>
      <c r="C41" t="s">
        <v>16</v>
      </c>
      <c r="D41" t="s">
        <v>248</v>
      </c>
    </row>
    <row r="42" spans="1:4" hidden="1">
      <c r="A42" s="14" t="s">
        <v>164</v>
      </c>
      <c r="B42">
        <v>43202</v>
      </c>
      <c r="C42" t="s">
        <v>240</v>
      </c>
      <c r="D42" t="s">
        <v>249</v>
      </c>
    </row>
    <row r="43" spans="1:4" hidden="1">
      <c r="A43" s="14" t="s">
        <v>164</v>
      </c>
      <c r="B43">
        <v>43207</v>
      </c>
      <c r="C43" t="s">
        <v>240</v>
      </c>
      <c r="D43" t="s">
        <v>250</v>
      </c>
    </row>
    <row r="44" spans="1:4" hidden="1">
      <c r="A44" s="14" t="s">
        <v>192</v>
      </c>
      <c r="B44">
        <v>43227</v>
      </c>
      <c r="C44" t="s">
        <v>240</v>
      </c>
      <c r="D44" t="s">
        <v>251</v>
      </c>
    </row>
    <row r="45" spans="1:4" hidden="1">
      <c r="A45" s="14" t="s">
        <v>198</v>
      </c>
      <c r="B45">
        <v>43239</v>
      </c>
      <c r="C45" t="s">
        <v>240</v>
      </c>
      <c r="D45" t="s">
        <v>252</v>
      </c>
    </row>
  </sheetData>
  <autoFilter ref="A1:D45" xr:uid="{00000000-0009-0000-0000-000003000000}">
    <filterColumn colId="0">
      <filters>
        <filter val="FCM-740"/>
        <filter val="FCM-741"/>
        <filter val="FCM-742"/>
        <filter val="FCM-744"/>
        <filter val="Not Available"/>
      </filters>
    </filterColumn>
  </autoFilter>
  <conditionalFormatting sqref="B2:B45">
    <cfRule type="duplicateValues" dxfId="0"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
  <sheetViews>
    <sheetView workbookViewId="0">
      <selection activeCell="E10" sqref="E10"/>
    </sheetView>
  </sheetViews>
  <sheetFormatPr defaultRowHeight="15"/>
  <cols>
    <col min="1" max="1" width="20.7109375" bestFit="1" customWidth="1"/>
    <col min="2" max="2" width="28.5703125" customWidth="1"/>
    <col min="3" max="3" width="20.5703125" customWidth="1"/>
  </cols>
  <sheetData>
    <row r="1" spans="1:3">
      <c r="A1" s="4" t="s">
        <v>253</v>
      </c>
      <c r="B1" s="3"/>
      <c r="C1" s="3"/>
    </row>
    <row r="2" spans="1:3" ht="105">
      <c r="A2" s="5" t="s">
        <v>254</v>
      </c>
      <c r="B2" s="6">
        <v>20000</v>
      </c>
      <c r="C2" s="3"/>
    </row>
    <row r="3" spans="1:3">
      <c r="A3" s="3" t="s">
        <v>255</v>
      </c>
      <c r="B3" s="6">
        <v>4000</v>
      </c>
      <c r="C3" s="3"/>
    </row>
    <row r="4" spans="1:3" ht="75">
      <c r="A4" s="5" t="s">
        <v>256</v>
      </c>
      <c r="B4" s="7" t="s">
        <v>257</v>
      </c>
      <c r="C4" s="3"/>
    </row>
    <row r="5" spans="1:3" ht="30">
      <c r="A5" s="5" t="s">
        <v>258</v>
      </c>
      <c r="B5" s="7" t="s">
        <v>259</v>
      </c>
      <c r="C5" s="8" t="s">
        <v>260</v>
      </c>
    </row>
    <row r="7" spans="1:3">
      <c r="A7" s="9" t="s">
        <v>261</v>
      </c>
    </row>
    <row r="8" spans="1:3" ht="30">
      <c r="A8" s="9" t="s">
        <v>262</v>
      </c>
      <c r="B8" t="s">
        <v>263</v>
      </c>
    </row>
    <row r="9" spans="1:3" ht="30">
      <c r="A9" s="9" t="s">
        <v>264</v>
      </c>
      <c r="B9" t="s">
        <v>263</v>
      </c>
    </row>
    <row r="10" spans="1:3" ht="30">
      <c r="A10" s="9" t="s">
        <v>265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B7757C-AD3B-44BA-8575-D9A7FA3FFDC7}"/>
</file>

<file path=customXml/itemProps2.xml><?xml version="1.0" encoding="utf-8"?>
<ds:datastoreItem xmlns:ds="http://schemas.openxmlformats.org/officeDocument/2006/customXml" ds:itemID="{B0263589-D857-4001-91D8-AAB3F39616B8}"/>
</file>

<file path=customXml/itemProps3.xml><?xml version="1.0" encoding="utf-8"?>
<ds:datastoreItem xmlns:ds="http://schemas.openxmlformats.org/officeDocument/2006/customXml" ds:itemID="{77CFF3AB-0AB8-4AF0-A2D5-8D998F3A04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 Kottawar</cp:lastModifiedBy>
  <cp:revision/>
  <dcterms:created xsi:type="dcterms:W3CDTF">2015-06-05T18:17:20Z</dcterms:created>
  <dcterms:modified xsi:type="dcterms:W3CDTF">2025-05-02T13:52:01Z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