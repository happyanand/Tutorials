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4"/>
  <workbookPr filterPrivacy="1"/>
  <xr:revisionPtr revIDLastSave="45" documentId="13_ncr:1_{516055C9-FBF6-40E0-B404-F2B76D424B5E}" xr6:coauthVersionLast="47" xr6:coauthVersionMax="47" xr10:uidLastSave="{01DAFAA2-6348-4591-972A-3D1576593475}"/>
  <bookViews>
    <workbookView xWindow="0" yWindow="0" windowWidth="24720" windowHeight="12225" xr2:uid="{00000000-000D-0000-FFFF-FFFF00000000}"/>
  </bookViews>
  <sheets>
    <sheet name="DPR" sheetId="1" r:id="rId1"/>
    <sheet name="Defect Coverage" sheetId="3" r:id="rId2"/>
    <sheet name="Sheet1" sheetId="6" r:id="rId3"/>
    <sheet name="Bug details" sheetId="5" r:id="rId4"/>
    <sheet name="Sheet2" sheetId="2" r:id="rId5"/>
    <sheet name="Sheet3" sheetId="7" r:id="rId6"/>
  </sheets>
  <definedNames>
    <definedName name="_xlnm._FilterDatabase" localSheetId="3" hidden="1">'Bug details'!$A$1:$D$45</definedName>
    <definedName name="_xlnm._FilterDatabase" localSheetId="1" hidden="1">'Defect Coverage'!$A$1:$I$45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 r="E17" i="1"/>
  <c r="E16" i="1"/>
  <c r="E15" i="1" l="1"/>
  <c r="E18" i="1"/>
  <c r="E8" i="1" l="1"/>
  <c r="E9" i="1"/>
  <c r="E10" i="1"/>
  <c r="E11" i="1"/>
  <c r="E12" i="1"/>
  <c r="E13" i="1"/>
  <c r="E3" i="1" l="1"/>
  <c r="E4" i="1"/>
  <c r="E5" i="1"/>
  <c r="E6" i="1"/>
  <c r="E7" i="1"/>
  <c r="E2" i="1"/>
  <c r="E19" i="1" s="1"/>
</calcChain>
</file>

<file path=xl/sharedStrings.xml><?xml version="1.0" encoding="utf-8"?>
<sst xmlns="http://schemas.openxmlformats.org/spreadsheetml/2006/main" count="416" uniqueCount="214">
  <si>
    <t>Requirement</t>
  </si>
  <si>
    <t>TC</t>
  </si>
  <si>
    <t>Total Bugs</t>
  </si>
  <si>
    <t>AI-BDD bugs covered</t>
  </si>
  <si>
    <t xml:space="preserve">Defect Prevention Ratio </t>
  </si>
  <si>
    <t>PHrs - Saved</t>
  </si>
  <si>
    <t>Dollars saved</t>
  </si>
  <si>
    <t>Software delivery cost reduction</t>
  </si>
  <si>
    <t>Module</t>
  </si>
  <si>
    <t>Missed scenario in Requirement, and generated by AI Co-Pilot</t>
  </si>
  <si>
    <t>650204-1</t>
  </si>
  <si>
    <t>MyBank 9.4.1.0</t>
  </si>
  <si>
    <t>656152-1</t>
  </si>
  <si>
    <t>664167 -1</t>
  </si>
  <si>
    <t>668678 -1</t>
  </si>
  <si>
    <t>670748-1</t>
  </si>
  <si>
    <t>674918-1</t>
  </si>
  <si>
    <t>700356-1</t>
  </si>
  <si>
    <t>MyBank 9.4.2.0</t>
  </si>
  <si>
    <t>700364-1</t>
  </si>
  <si>
    <t>700367-1</t>
  </si>
  <si>
    <t>700369-1</t>
  </si>
  <si>
    <t>700373-1</t>
  </si>
  <si>
    <t>700375-1</t>
  </si>
  <si>
    <t>Beacon FCM 1.1.1.2</t>
  </si>
  <si>
    <t>14 and 1 NA</t>
  </si>
  <si>
    <t>AVG</t>
  </si>
  <si>
    <t>Defect ID</t>
  </si>
  <si>
    <t>Updated Requirement</t>
  </si>
  <si>
    <t xml:space="preserve"> Test Case ID</t>
  </si>
  <si>
    <t>RCA of TC missing / DL</t>
  </si>
  <si>
    <t xml:space="preserve"> Test Case Description/inputs</t>
  </si>
  <si>
    <t xml:space="preserve"> Expected Result</t>
  </si>
  <si>
    <t xml:space="preserve"> Root Cause</t>
  </si>
  <si>
    <t>Type(BL,ECP,BVA)</t>
  </si>
  <si>
    <t>User Story 4: Notification for Account Allocation
As a Branch Staff member,
I want to receive notifications when an account is allocated to me,
So that I can stay updated and manage my assigned accounts effectively.
Acceptance Criteria:
Staff members should receive a notification when an account is allocated to them.
Notifications should be delivered via both email and in-app alerts.
The notification should include:
Account Number
Account Holder Name
Allocation Date
Allocating Staff Member (if applicable)
The count of allocated accounts should be displayed correctly and updated in real-time in the "My Accounts" section.</t>
  </si>
  <si>
    <t>FCM-742</t>
  </si>
  <si>
    <t>Gap - Product Knowledge</t>
  </si>
  <si>
    <t>Notification when accounts are allocated</t>
  </si>
  <si>
    <t xml:space="preserve"> count should be visible properly</t>
  </si>
  <si>
    <t>Coding issue UI</t>
  </si>
  <si>
    <t>BL</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</si>
  <si>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t>
  </si>
  <si>
    <t>The system must allow successful creation of Core users in the User Management module without throwing any exceptions.</t>
  </si>
  <si>
    <t>FCM-741</t>
  </si>
  <si>
    <t>Gap</t>
  </si>
  <si>
    <t>Missed TC by team</t>
  </si>
  <si>
    <t>Early-stage Defect</t>
  </si>
  <si>
    <t>The system must allow users to update dispositions in the Oracle module without triggering a "Something went wrong" error message.</t>
  </si>
  <si>
    <t>User Story: 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1. Default View and Display:
On the initial load, the Chart View should be displayed by default.
Both Chart View and Table View must display the main labels: Count/Amount and Count/Percentage.
To view detailed data for Count/Amount or Count/Percentage, users must switch to Table View from Chart View.
2. Filtering and Data Integrity: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3. SMA Status Categorization:
The SMA statuses should be categorized as:
Allocated
Pending
Regularized
Collected (Applicable for Product-Wise View only)
4. Graphs Included:
SMA Regularized: Consolidated View (Count/Percentage)
SMA Regularized: Allocated vs. Regularized (Count/Amount)
Product Wise View of SMA Regularized Accounts (Count/Amount)
5.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t>
  </si>
  <si>
    <t>FCM-744</t>
  </si>
  <si>
    <t>verify count /percentage is showing in  SMA Regularized :consolidated  graph</t>
  </si>
  <si>
    <t>Each row in the amount columns displays data in the "Count/Amount" format.</t>
  </si>
  <si>
    <t>Coding Issue DB</t>
  </si>
  <si>
    <t xml:space="preserve">User Story: 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1. Default View and Display:
On the initial load, the Chart View should be displayed by default.
Both Chart View and Table View must display the main labels: Count/Amount and Count/Percentage.
To view detailed data for Count/Amount or Count/Percentage, users must switch to Table View from Chart View.
2. Filtering and Data Integrity: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3. SMA Status Categorization:
The SMA statuses should be categorized as:
Allocated
Pending
Regularized
Collected (Applicable for Product-Wise View only)
4. Graphs Included:
SMA Regularized: Consolidated View (Count/Percentage)
SMA Regularized: Allocated vs. Regularized (Count/Amount)
Product Wise View of SMA Regularized Accounts (Count/Amount)
5.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
6. Formatting and Currency Display:
Percentage and Amount fields should follow Indian standard format, meaning only two digits should be shown after the decimal point.
In Table View, the Amount should be displayed based on the Currency String Configuration.
7.In Table View Amount is not showing Based on The Currency String Configuration
</t>
  </si>
  <si>
    <t>Verify pending column is  Display in  Product Wise View of SMA Regularized Accounts  graph</t>
  </si>
  <si>
    <t>Pending column should be present in Product Wise View of SMA Regularized Accounts  graph</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</si>
  <si>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</si>
  <si>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
Regularized NPA/SMA Accounts (SQL/ORACLE): The Same Graph Label should be displayed in case of no data found</t>
  </si>
  <si>
    <t>verify count /Amount is showing in  NPA Regularized :Allocated Vs Regularized graph</t>
  </si>
  <si>
    <t>Both Chart View and Table View must display the main labels: Count/Amount and Count/Percentage.</t>
  </si>
  <si>
    <t>Regularized NPA Movement account_x000D_
As a Core application user (HO, ZO, RO, Branch users),_x000D_
I want to view the Regularized NPA Movement data in different breakdowns with count, amount, and percentage details,_x000D_
So that I can analyze the status of allocated, pending, and regularized NPA accounts effectively._x000D_
_x000D_
Acceptance Criteria:_x000D_
On the initial load, the Chart View should be displayed by default._x000D_
Both Chart View and Table View must display the main labels: Count/Amount and Count/Percentage._x000D_
To view detailed data for Count/Amount or Count/Percentage, users must switch to Table View from Chart View._x000D_
Users should be able to apply input filters (e.g., select Month/Year) to refine the data._x000D_
If an account appears under different channels within the same month, its count should be considered only once (no duplication of account count)._x000D_
The Count/Amount and Count/Percentage labels should be displayed when using the Compare With or Group By options._x000D_
The NPA statuses should be categorized as:_x000D_
Allocated_x000D_
Pending_x000D_
Regularized_x000D_
Collected (Applicable for Co-Wise View and Product-Wise View only)_x000D_
Graphs Included:_x000D_
NPA Regularized: Consolidated View (Count/Percentage)_x000D_
Must include allocated, pending, and regularized cases._x000D_
NPA Regularized: Allocated vs. Regularized (Count/Amount)_x000D_
Must include allocated, pending, and regularized cases._x000D_
Co-Wise View of NPA Regularized Accounts (Count/Amount)_x000D_
Must include allocated, pending, regularized, and collected cases._x000D_
Product-Wise View of NPA Regularized Accounts (Count/Amount)_x000D_
Must include allocated, pending, regularized, and collected cases.</t>
  </si>
  <si>
    <t xml:space="preserve">Regularized NPA Movement account
As a Core application user (HO, ZO, RO, Branch users),
I want to view the Regularized NPA Movement data in different breakdowns with count, amount, and percentage details,
So that I can analyze the status of allocated, pending, and regularized NPA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NPA statuses should be categorized as:
Allocated
Pending
Regularized
Collected (Applicable for Co-Wise View and Product-Wise View only)
Graphs Included:
NPA Regularized: Consolidated View (Count/Percentage)
Must include allocated, pending, and regularized cases.
NPA Regularized: Allocated vs. Regularized (Count/Amount)
Must include allocated, pending, and regularized cases.
Co-Wise View of NPA Regularized Accounts (Count/Amount)
Must include allocated, pending, regularized, and collected cases.
Product-Wise View of NPA Regularized Accounts (Count/Amount)
</t>
  </si>
  <si>
    <t>Regularized NPA Movement account
As a Core application user (HO, ZO, RO, Branch users),
I want to view the Regularized NPA Movement data in different breakdowns with count, amount, and percentage details,
So that I can analyze the status of allocated, pending, and regularized NPA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NPA statuses should be categorized as:
Allocated
Pending
Regularized
Collected (Applicable for Co-Wise View and Product-Wise View only)
Graphs Included:
NPA Regularized: Consolidated View (Count/Percentage)
Must include allocated, pending, and regularized cases.
NPA Regularized: Allocated vs. Regularized (Count/Amount)
Must include allocated, pending, and regularized cases.
Co-Wise View of NPA Regularized Accounts (Count/Amount)
Must include allocated, pending, regularized, and collected cases.
Product-Wise View of NPA Regularized Accounts (Count/Amount)
Must include allocated, pending, regularized, and collected cases.</t>
  </si>
  <si>
    <t>verify count /Amount is showing in Co Wise View of NPA Regularized Accounts  graph</t>
  </si>
  <si>
    <t xml:space="preserve">"Forward NPA Movement Accounts
As a Core application user (HO, ZO, RO, Branch users),
I want to view the Forward NPA Movement data in both chart and table formats with count, amount, and percentage details,
So that I can analyze the data effectively using different visualization and filtering options.
Acceptance Criteria:
On the initial load, the Chart View will be displayed by default.
Both Chart View and Table View should display the main labels: Count/Amount and Count/Percentage.
To view detailed data for Count/Amount or Count/Percentage, users must switch to Table View from Chart View.
Users should be able to apply input filters (e.g., select Month/Year) to refine the data.
If an account exists under different channels for the same month, its count should be considered only once (no duplication of account count).
The Count/Amount and Count/Percentage labels should be displayed when using the Compare With or Group By options.
Graphs Included:
Consolidated Forward NPA Movement (Count/Percentage)
Consolidated Forward NPA Movement (Count/Amount)
Forward NPA Movement (Count/Amount)
Product Wise View (Count/Amount)
Additional Validation Points:
Forward NPA Movement - Product Wise Graph: Ensure count/amount checking is properly implemented.
Forward NPA Movement Graph: Verify count/amount checking is correctly applied."
</t>
  </si>
  <si>
    <t xml:space="preserve">"Forward NPA Movement Accounts
As a Core application user (HO, ZO, RO, Branch users),
I want to view the Forward NPA Movement data in both chart and table formats with count, amount, and percentage details,
So that I can analyze the data effectively using different visualization and filtering options.
Acceptance Criteria:
On the initial load, the Chart View will be displayed by default.
Both Chart View and Table View should display the main labels: Count/Amount and Count/Percentage.
To view detailed data for Count/Amount or Count/Percentage, users must switch to Table View from Chart View.
Users should be able to apply input filters (e.g., select Month/Year) to refine the data.
If an account exists under different channels for the same month, its count should be considered only once (no duplication of account count).
The Count/Amount and Count/Percentage labels should be displayed when using the Compare With or Group By options.
Graphs Included:
Consolidated Forward NPA Movement (Count/Percentage)
Consolidated Forward NPA Movement (Count/Amount)
Forward NPA Movement (Count/Amount)
Product Wise View (Count/Amount)
Additional Validation Points:
Forward NPA Movement - Product Wise Graph: Ensure count/amount checking is properly implemented.
Forward NPA Movement Graph: Verify count/amount checking is correctly applied."
Forward NPA Movement (SQL): Count and Amount showing as 0 in Consolidated Forward NPA Movement graph when there is no data under a particular month and "compare with" is used
</t>
  </si>
  <si>
    <t>"Forward NPA Movement Accounts
As a Core application user (HO, ZO, RO, Branch users),
I want to view the Forward NPA Movement data in both chart and table formats with count, amount, and percentage details,
So that I can analyze the data effectively using different visualization and filtering options.
Acceptance Criteria:
On the initial load, the Chart View will be displayed by default.
Both Chart View and Table View should display the main labels: Count/Amount and Count/Percentage.
To view detailed data for Count/Amount or Count/Percentage, users must switch to Table View from Chart View.
Users should be able to apply input filters (e.g., select Month/Year) to refine the data.
If an account exists under different channels for the same month, its count should be considered only once (no duplication of account count).
The Count/Amount and Count/Percentage labels should be displayed when using the Compare With or Group By options.
Graphs Included:
Consolidated Forward NPA Movement (Count/Percentage)
Consolidated Forward NPA Movement (Count/Amount)
Forward NPA Movement (Count/Amount)
Product Wise View (Count/Amount)
Additional Validation Points:
Forward NPA Movement - Product Wise Graph: Ensure count/amount checking is properly implemented.
Forward NPA Movement Graph: Verify count/amount checking is correctly applied."
Forward NPA Movement (Oracle): "No data found" showing in graphs where count logic is implemented</t>
  </si>
  <si>
    <t>updated the user story</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</si>
  <si>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for.Forward SMA Movement (SQL) : The Count and Amount section shows as 0 when there is no data under a particular category, and the Channel selected is other than 'ALL'</t>
  </si>
  <si>
    <t>verify detailed data is showing when switch to table view</t>
  </si>
  <si>
    <t>Count/Amount or Count/Percentage    values should be displayed detail in table view</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</si>
  <si>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for.Forward SMA/NPA Movement (SQL) : Movement Amount showing is wrong in Table View of Consolidated Forward SMA/NPA Movement(Count / Amount In Lakhs) Graph</t>
  </si>
  <si>
    <t>Verify Count/Amount is Display in Consolidated Forward NPA Movement graph</t>
  </si>
  <si>
    <t>Count/Amount column should be present</t>
  </si>
  <si>
    <t xml:space="preserve">The system must use a forward slash (/) instead of a backward slash () to differentiate between Count and Amount in the SQL-based reports </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</si>
  <si>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
reflect accurate data—even when there is no data available under a category like Backward SMA Movement, in which case the count section must still be shown with a value of zero or a ‘No data available’ message without breaking layout or functionality."</t>
  </si>
  <si>
    <t>AI missed scenario</t>
  </si>
  <si>
    <t>User Story:
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
Additional Acceptance Criteria for Backward SMA Movement:
In the Backward SMA Movement (Count – Amount) (In Lakhs) graph, if a particular channel is selected and there is no data under that category, the count section must still be displayed.
The section should show a value of zero or a clear message like "No data available".
The layout must remain visually consistent, with no missing sections or UI disruptions, and the application should handle this case without errors.</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</si>
  <si>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for."When applying the 'Compare with' filter, categories with no associated data should be omitted or display a clear message such as 'No data available' instead of showing 0 in the 'Count and Amount' section.</t>
  </si>
  <si>
    <t>Regularized SMA Movement accounts
As a Core application user (HO, ZO, RO, Branch users),
I want to view the Regularized SMA Movement data in different breakdowns with count, amount, and percentage details,
So that I can analyze the status of allocated, pending, and regularized SMA accounts effectively.
Acceptance Criteria:
On the initial load, the Chart View should be displayed by default.
Both Chart View and Table View must display the main labels: Count/Amount and Count/Percentage.
To view detailed data for Count/Amount or Count/Percentage, users must switch to Table View from Chart View.
Users should be able to apply input filters (e.g., select Month/Year) to refine the data.
If an account appears under different channels within the same month, its count should be considered only once (no duplication of account count).
The Count/Amount and Count/Percentage labels should be displayed when using the Compare With or Group By options.
The SMA statuses should be categorized as:
Allocated
Pending
Regularized
Collected (Applicable for Product-Wise View only)
Graphs Included:
SMA Regularized: Consolidated View (Count/Percentage)
SMA Regularized: Allocated vs. Regularized (Count/Amount)
Product Wise View of SMA Regularized Accounts (Count/Amount)
Additional Validation Points:
SMA Regularized: Consolidated View – Ensure that Allocated/Pending/Regularized cases are correctly reflected.
SMA Regularized: Allocated vs. Regularized View – Verify that Allocated/Pending/Regularized cases are included.
Product Wise View of SMA Regularized Accounts – Validate that Allocated/Pending/Regularized/Collected cases are properly accounted for.In the Product-wise graph for Backward SMA Movement (Oracle), display only Movement Categories that have associated data to ensure clarity and relevance.</t>
  </si>
  <si>
    <t>Verify Count/Percentage is Display in  Consolidated Backward SMA Movement( graph</t>
  </si>
  <si>
    <t>Count/Percentage  column should be present</t>
  </si>
  <si>
    <t>Addition of "Remarks" Column in Follow-Up List Report
As a Core application user,
I want to see an additional "Remarks" column in the Follow-Up List Report,
So that I can view the remarks captured during the disposition update for each account.
Acceptance Criteria:
Addition of "Remarks" Column:
A new column named "Remarks" must be added to the Follow-Up List Report in the Report section.
The "Remarks" column should be placed immediately after the "Sub-Disposition" column.
Data Population in "Remarks" Column:
The remarks should be fetched from the Disposition Updation Page, where users input them.
If no remarks are recorded for a particular account, "NA" should be displayed in the "Remarks" column.
Report Consistency:
The addition of the "Remarks" column should not impact the existing structure or functionality of the Follow-Up List Report.
The data should be properly aligned and formatted for readability.
User Accessibility:
Users should be able to export the Follow-Up List Report with the newly added "Remarks" column.
Additional Considerations:
Ensure that the column does not disrupt existing filters, sorting, or pagination within the report.
Validate that the remarks are correctly mapped from the disposition page to the report.
Conduct UI testing to ensure proper placement and display of the "Remarks" column.</t>
  </si>
  <si>
    <t>When a disposition action is initiated in the Collection Agency module (Oracle), the system should execute the action without errors, provided all required inputs are correctly entered.</t>
  </si>
  <si>
    <t>Logic Issue</t>
  </si>
  <si>
    <t>Addition of "Remarks" Column in Follow-Up List Report
As a Core application user,
I want to see an additional "Remarks" column in the Follow-Up List Report,
So that I can view the remarks captured during the disposition update for each account.
Acceptance Criteria:
Addition of "Remarks" Column:
A new column named "Remarks" must be added to the Follow-Up List Report in the Report section.
The "Remarks" column should be placed immediately after the "Sub-Disposition" column.
Data Population in "Remarks" Column:
The remarks should be fetched from the Disposition Updation Page, where users input them.
If no remarks are recorded for a particular account, "NA" should be displayed in the "Remarks" column.
Report Consistency:
The addition of the "Remarks" column should not impact the existing structure or functionality of the Follow-Up List Report.
The data should be properly aligned and formatted for readability.
User Accessibility:
Users should be able to export the Follow-Up List Report with the newly added "Remarks" column.
Additional Considerations:
Ensure that the column does not disrupt existing filters, sorting, or pagination within the report.
Validate that the remarks are correctly mapped from the disposition page to the report.
Conduct UI testing to ensure proper placement and display of the "Remarks" column.The system must allow users to successfully update and save dispositions from the disposition window in the Core module without errors.</t>
  </si>
  <si>
    <t>FCM-740</t>
  </si>
  <si>
    <t>Update Disposition and Add Remark</t>
  </si>
  <si>
    <t>Remark is saved successfully for the disposition update.</t>
  </si>
  <si>
    <t>Coding  Issue UI</t>
  </si>
  <si>
    <t>Addition of "Remarks" Column in Follow-Up List Report
As a Core application user,
I want to see an additional "Remarks" column in the Follow-Up List Report,
So that I can view the remarks captured during the disposition update for each account.
Acceptance Criteria:
Addition of "Remarks" Column:
A new column named "Remarks" must be added to the Follow-Up List Report in the Report section.
The "Remarks" column should be placed immediately after the "Sub-Disposition" column.
Data Population in "Remarks" Column:
The remarks should be fetched from the Disposition Updation Page, where users input them.
If no remarks are recorded for a particular account, "NA" should be displayed in the "Remarks" column.
Report Consistency:
The addition of the "Remarks" column should not impact the existing structure or functionality of the Follow-Up List Report.
The data should be properly aligned and formatted for readability.
User Accessibility:
Users should be able to export the Follow-Up List Report with the newly added "Remarks" column.
Additional Considerations:
Ensure that the column does not disrupt existing filters, sorting, or pagination within the report.
Validate that the remarks are correctly mapped from the disposition page to the report.
Conduct UI testing to ensure proper placement and display of the "Remarks" column.Users should be able to successfully perform disposition actions from the 'Updation of Disposition' window in the Collection Agency module without encountering errors, provided all required inputs are correctly entered.</t>
  </si>
  <si>
    <t>Addition of "Remarks" Column in Follow-Up List Report
As a Core application user,
I want to see an additional "Remarks" column in the Follow-Up List Report,
So that I can view the remarks captured during the disposition update for each account.
Acceptance Criteria:
Addition of "Remarks" Column:
A new column named "Remarks" must be added to the Follow-Up List Report in the Report section.
The "Remarks" column should be placed immediately after the "Sub-Disposition" column.
Data Population in "Remarks" Column:
The remarks should be fetched from the Disposition Updation Page, where users input them.
If no remarks are recorded for a particular account, "NA" should be displayed in the "Remarks" column.
Report Consistency:
The addition of the "Remarks" column should not impact the existing structure or functionality of the Follow-Up List Report.
The data should be properly aligned and formatted for readability.
User Accessibility:
Users should be able to export the Follow-Up List Report with the newly added "Remarks" column.
Additional Considerations:
Ensure that the column does not disrupt existing filters, sorting, or pagination within the report.
Validate that the remarks are correctly mapped from the disposition page to the report.
Conduct UI testing to ensure proper placement and display of the "Remarks" column.Dispositions updated via the mobile app should be reflected in the Follow-Up List Report, including their associated remarks, to maintain consistency across platforms.</t>
  </si>
  <si>
    <t>Lengthy Remark Disposition on Mobile</t>
  </si>
  <si>
    <t>The lengthy remark should be displayed fully in the "Remarks" column without truncation or corruption.</t>
  </si>
  <si>
    <t>WhatsApp Message Option in Template Management &amp; Notification Type
As a Core application user,
I want to have the option to create and manage WhatsApp notification templates within Template Management,
So that I can send WhatsApp notifications just like SMS, Email, and Notice notifications.
Acceptance Criteria:
Adding a WhatsApp Notification Template:
Under Template Management, when the user clicks on "Add Template", a new option "WhatsApp" must be available in the Notification Type dropdown.
User should be able to proceed with creating a new WhatsApp template.
Notification Type Dropdown:
The Notification Type dropdown must now include WhatsApp, in addition to the existing options: SMS, Email, and Notice.
Template Management Functionalities:
All functionalities available for other notification types (SMS, Email, Notice) must also be available for WhatsApp, including:
Edit Template
View Template
View History
Current Status &amp; Category Dropdown:
The Current Status and Category dropdowns will have the same options as those available for other notification types.
Notification Management for WhatsApp:
Users must be able to manage WhatsApp notifications in the same way as SMS, Email, and Notice notifications.
The system should maintain consistency across all notification types.
Additional Considerations:
Ensure UI consistency when adding WhatsApp as a notification type.
Validate that the WhatsApp message format aligns with the existing notification structures.
Confirm that the history and logging functionalities work seamlessly for WhatsApp templates.</t>
  </si>
  <si>
    <t>WhatsApp Message Option in Template Management &amp; Notification Type
As a Core application user,
I want to have the option to create and manage WhatsApp notification templates within Template Management,
So that I can send WhatsApp notifications just like SMS, Email, and Notice notifications.
Acceptance Criteria:
Adding a WhatsApp Notification Template:
Under Template Management, when the user clicks on "Add Template", a new option "WhatsApp" must be available in the Notification Type dropdown.
User should be able to proceed with creating a new WhatsApp template.
Notification Type Dropdown:
The Notification Type dropdown must now include WhatsApp, in addition to the existing options: SMS, Email, and Notice.
Template Management Functionalities:
All functionalities available for other notification types (SMS, Email, Notice) must also be available for WhatsApp, including:
Edit Template
View Template
View History
Current Status &amp; Category Dropdown:
The Current Status and Category dropdowns will have the same options as those available for other notification types.
Notification Management for WhatsApp:
Users must be able to manage WhatsApp notifications in the same way as SMS, Email, and Notice notifications.
The system should maintain consistency across all notification types.
Additional Considerations:
Ensure UI consistency when adding WhatsApp as a notification type.
Validate that the WhatsApp message format aligns with the existing notification structures.
Confirm that the history and logging functionalities work seamlessly for WhatsApp templates.WhatsApp notification data should be displayed in the Follow-Up Report, Summary Report, and Daily Alerts Status Report, consistent with other notification types such as SMS, Email, and Notice.</t>
  </si>
  <si>
    <t>Not Available</t>
  </si>
  <si>
    <t>Navigate to Follow-up and Summary Report</t>
  </si>
  <si>
    <t>Report page is displayed.</t>
  </si>
  <si>
    <t>Requirement Gap</t>
  </si>
  <si>
    <t>When a customer raises a complaint or suggestion via the mobile application, it should appear in the complaint module of the admin portal.
The complaint entry should include:
Customer ID
Phone Number
Email Address
The complaint details should include:
Title (Max: 100 characters)
Description (Max: 1000 characters)
Attachment (Only image files allowed)
Send Button (To submit complaints)
The complaint window should have an Export Button to allow admins to download complaints in tabular format.</t>
  </si>
  <si>
    <t>Updated User Story:
When a customer raises a complaint or suggestion via the mobile application, it should appear in the complaint module of the admin portal.
The complaint entry should include:
Customer ID
Phone Number
Email Address
The complaint details should include:
Title (Max: 100 characters)
Description (Max: 1000 characters)
Attachment (Only image files allowed)
Send Button (To submit complaints)
The complaint window should have an Export Button to allow admins to download complaints in tabular format.
Serial numbers (Sl. No) in the MyBank admin portal must display in correct sequential order without any mismatch.
"slno shows wrong in mybank admin portal"</t>
  </si>
  <si>
    <t xml:space="preserve"> MB_-419</t>
  </si>
  <si>
    <t>Not an defect</t>
  </si>
  <si>
    <t>User Story:
When a customer raises a complaint or suggestion via the mobile application, it should appear in the complaint module of the admin portal.
The complaint entry must include the following fields:
Customer ID
Phone Number
Email Address
The complaint details section must include:
Title field with a maximum of 100 characters
Description field with a maximum of 1000 characters
Attachment field that allows only image file uploads
Send Button to submit the complaint
The complaint window must include an Export Button that enables admins to download complaint records in tabular format.
Complaint reports must be visible and accessible in the MyBank admin portal.
"complaint report not showing in mybank admin portal"</t>
  </si>
  <si>
    <t>Verify Registered Complaints in Admin</t>
  </si>
  <si>
    <t>Registered complaints are displayed</t>
  </si>
  <si>
    <t>Updated User Story:
When a customer raises a complaint or suggestion via the mobile application, it should appear in the complaint module of the admin portal.
The complaint entry should include:
Customer ID
Phone Number
Email Address
The complaint details should include:
Title (Max: 100 characters)
Description (Max: 1000 characters)
Attachment (Only image files allowed)
Send Button (To submit complaints)
The complaint window should have an Export Button to allow admins to download complaints in tabular format.
Export button must work and allow successful download of complaint data.
"export button not working in mybank"</t>
  </si>
  <si>
    <t>Display Contact Info Option in Admin</t>
  </si>
  <si>
    <t>Option is available in exported data</t>
  </si>
  <si>
    <t>MB_-420</t>
  </si>
  <si>
    <t>Frequency Selection for Interest Transfer</t>
  </si>
  <si>
    <t>Frequency options displayed correctly in dropdown</t>
  </si>
  <si>
    <t>MB_-421</t>
  </si>
  <si>
    <t>Enter Invalid FD Amount</t>
  </si>
  <si>
    <t>Maturity amount, date, and ROI must load but not editable.</t>
  </si>
  <si>
    <t>MB_-426</t>
  </si>
  <si>
    <t>Verify News Display - Heading and Content</t>
  </si>
  <si>
    <t>Heading and content show correctly without issues</t>
  </si>
  <si>
    <t>MB_-427</t>
  </si>
  <si>
    <t>Open FD Account</t>
  </si>
  <si>
    <t>FD account is opened successfully.</t>
  </si>
  <si>
    <t>Verify FD Account in Report</t>
  </si>
  <si>
    <t>Opened FD account is listed in the report.</t>
  </si>
  <si>
    <t>MB_-354</t>
  </si>
  <si>
    <t>check on view button against complaints</t>
  </si>
  <si>
    <t>must possible to view successfully</t>
  </si>
  <si>
    <t>click on the link button many times check app is crashing or not</t>
  </si>
  <si>
    <t>app should not crash</t>
  </si>
  <si>
    <t>Build and Deployment Issue</t>
  </si>
  <si>
    <t>MB_-356</t>
  </si>
  <si>
    <t>Perform an EFT/IMPS transfer to the own bank beneficiary.</t>
  </si>
  <si>
    <t>Transfer should be successful.</t>
  </si>
  <si>
    <t>MB_-352</t>
  </si>
  <si>
    <t>open my bank application - login to application </t>
  </si>
  <si>
    <t>must possible to show successfully</t>
  </si>
  <si>
    <t>Script Missing</t>
  </si>
  <si>
    <t>now click on gold loan opening banner </t>
  </si>
  <si>
    <t>concent form will be displayed</t>
  </si>
  <si>
    <t>try to open an gold loan opening - select packet - click on next - summary page will be displayed - enter loan amount - select amount - click on get schemes - select scheme -&gt;check roi decimal shows propely</t>
  </si>
  <si>
    <t>decimal and the format of amount must be correct</t>
  </si>
  <si>
    <t>try to open an odkcc account through mybank application - check drwable amount and other details shows correct in before payment summary page</t>
  </si>
  <si>
    <t>must show correct amount</t>
  </si>
  <si>
    <t>open an odkcc account - summary page will be displayed click on back to home actual result </t>
  </si>
  <si>
    <t>must possible to redirect to home page</t>
  </si>
  <si>
    <t>MB_-357</t>
  </si>
  <si>
    <t>check news in notification and check  settings - news </t>
  </si>
  <si>
    <t>must view added news in notication and also added news must display in news window in setttings</t>
  </si>
  <si>
    <t>MB_-350</t>
  </si>
  <si>
    <t>upload document and check document upload done successfully</t>
  </si>
  <si>
    <t>must possible to upload successfully</t>
  </si>
  <si>
    <t>ID</t>
  </si>
  <si>
    <t>Task</t>
  </si>
  <si>
    <t>Summary</t>
  </si>
  <si>
    <t>Forward SMA Movement (SQL) : The Count and Amount section shows as 0 when there is no data under a particular category, and the Channel selected is other than 'ALL'</t>
  </si>
  <si>
    <t>SQL: As Discussion With PM He suggested changing the backward slash to a forward slash to differentiate Count and Amount</t>
  </si>
  <si>
    <t>Forward NPA Movement (SQL) : Count and Amount showing as 0 in Consolidated Forward NPA Movement (Count ï¼¼ Amount - In Lakhs) graph when there is no data under a particular month and compare with is used</t>
  </si>
  <si>
    <t>Backward SMA Movement (SQL) : Count Section Not showing in case of no data under that category</t>
  </si>
  <si>
    <t>Backward SMA Movement (SQL) : Count Section Not showing in Backward SMA Movement(Count ï¼¼ Amount) ( In Lakhs ) graph  in case of no data under that category and a particular Channel is selected</t>
  </si>
  <si>
    <t>Backward SMA Movement (SQL) : Count and Amount Section showing as 0 in case of no data under that category When compare with filter is used</t>
  </si>
  <si>
    <t>APGB-SQL:Core-&gt;Not able to do disposition from Updation of disposition window .</t>
  </si>
  <si>
    <t>Regularized SMA Accounts (SQL): Huge Decimal is showing in Percentage</t>
  </si>
  <si>
    <t>Regularized SMA Accounts (SQL): In Table View Amount is not showing Based on The Currency String Configuration</t>
  </si>
  <si>
    <t>oracle : user mangement : Not able to create core user, throwing exception</t>
  </si>
  <si>
    <t>Version PL-SQL 1.1.1.2 (SQL) notification count is overlapping</t>
  </si>
  <si>
    <t>APGB-SQL:Collection Agency-&gt;Not able to do disposition from Updation of disposition window .</t>
  </si>
  <si>
    <t>APGB-SQL:Follow up List report-&gt;Disposition taken from mobile app is not displayed in Follow up List report</t>
  </si>
  <si>
    <t>Forward SMA/NPA Movement (SQL) : Movement Amount showing is wrong in Table View of Consolidated Forward SMA/NPA Movement(Count / Amount In Lakhs) Graph</t>
  </si>
  <si>
    <t>APGB-ORACLE &amp; SQL-&gt;Whatsapp notification data is not displayed in Follow-up and Summary Report &amp; Daily Alerts Status Report.</t>
  </si>
  <si>
    <t>Oracle : Updation of disposition: showing something went wrong message while doing disposition</t>
  </si>
  <si>
    <t>Forward NPA Movement (Oracle) : No data found showing in the graphs in which have count work implemented</t>
  </si>
  <si>
    <t>Backward SMA Movement (Oracle) : Movement Category is showing only when have Data under that Category in Product wise graph</t>
  </si>
  <si>
    <t>Regularized NPA Accounts (Oracle): Having Issue in the package</t>
  </si>
  <si>
    <t>Regularized NPA Accounts (SQL/Oracle): Pending Column should be present in in Both Zone/Region/Branch Wise View of NPA Regularized Accounts(Count / Amount) ( In Lakhs )</t>
  </si>
  <si>
    <t>Collection Agency (Oracle) : Error shows when take disposition</t>
  </si>
  <si>
    <t>Regularized NPA/SMA Accounts (SQL/ORACLE): The Same Graph Label should be displayed in case of no data found</t>
  </si>
  <si>
    <t>"complaint report not showing in mybank admin portal"</t>
  </si>
  <si>
    <t>MB_-419</t>
  </si>
  <si>
    <t>"content not possible to saw completely and alignment shows wrong"</t>
  </si>
  <si>
    <t>"export button not working in mybank"</t>
  </si>
  <si>
    <t>"instead of month , showing account number in frequency field"</t>
  </si>
  <si>
    <t>"app moving backward , instead of moving otp page ,page  moving backward to interest page."</t>
  </si>
  <si>
    <t>"opened fd not showing in Term deposit Requests "</t>
  </si>
  <si>
    <t>"roi ,maturity amount and maturity date not loading automatically after entering amount"</t>
  </si>
  <si>
    <t>"aadhar number field not showing in nominee page"</t>
  </si>
  <si>
    <t>"term deposit request window not showing any data , after clicking on refresh button app keeps hanging"</t>
  </si>
  <si>
    <t>"slno shows wrong in mybank admin portal"</t>
  </si>
  <si>
    <t>664167-1</t>
  </si>
  <si>
    <t>"App keeps crashing while trying to log to application"</t>
  </si>
  <si>
    <t>"unknown error occurred " an popup shows up while opening loan opening window</t>
  </si>
  <si>
    <t>"ROI decimals shows more than 2 digits after decimal"</t>
  </si>
  <si>
    <t>"no validation message shows up while adding own bank beneficary in other bank in eft window"</t>
  </si>
  <si>
    <t>"view button not showing in request status window against complaints"</t>
  </si>
  <si>
    <t>"app keeps crashing while clicking on apk"</t>
  </si>
  <si>
    <t>While to TDS Exemption marking showing "Internal server error : 500"</t>
  </si>
  <si>
    <t>While add news the notification is not showing as well from the floating menu News option selected and click on the news details app crashing.</t>
  </si>
  <si>
    <t>"app redirects to homepage while selecting odkcc as product"</t>
  </si>
  <si>
    <t>"currently drawing  amount shows wrong against odkcc acc opening "</t>
  </si>
  <si>
    <t>"not possible to open odkcc account through mybank and also drwable amount shows wrong"</t>
  </si>
  <si>
    <t>"app got crashing while clicking on back button in summary page"</t>
  </si>
  <si>
    <t>Total Defects last year</t>
  </si>
  <si>
    <t>Total Defects found last year in Beacon project</t>
  </si>
  <si>
    <t>20% of total defects</t>
  </si>
  <si>
    <t>AVG time taken to fix each defect</t>
  </si>
  <si>
    <t>5hrs</t>
  </si>
  <si>
    <t>Total hrs spent on defect life cycle</t>
  </si>
  <si>
    <t>5*4000</t>
  </si>
  <si>
    <t>20000 hrs</t>
  </si>
  <si>
    <t>Requirement gap</t>
  </si>
  <si>
    <t>Regression testing defects</t>
  </si>
  <si>
    <t>chk test coverage</t>
  </si>
  <si>
    <t>Database table related issues</t>
  </si>
  <si>
    <t>0 data validation is missing in AI BDD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</si>
</sst>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0" fillId="0" borderId="1" xfId="0" applyBorder="1" applyAlignment="1">
      <alignment horizontal="center" vertical="center" wrapText="1"/>
    </xf>
    <xf numFmtId="9" fontId="0" fillId="2" borderId="1" xfId="0" applyNumberFormat="1" applyFill="1" applyBorder="1" applyAlignment="1">
      <alignment horizontal="center" vertical="center" wrapText="1"/>
    </xf>
    <xf numFmtId="0" fontId="0" fillId="0" borderId="1" xfId="0" applyBorder="1"/>
    <xf numFmtId="0" fontId="1" fillId="0" borderId="1" xfId="0" applyFont="1" applyBorder="1"/>
    <xf numFmtId="0" fontId="0" fillId="0" borderId="1" xfId="0" applyBorder="1" applyAlignment="1">
      <alignment wrapText="1"/>
    </xf>
    <xf numFmtId="3" fontId="0" fillId="0" borderId="1" xfId="0" applyNumberFormat="1" applyBorder="1" applyAlignment="1">
      <alignment horizontal="right"/>
    </xf>
    <xf numFmtId="0" fontId="0" fillId="0" borderId="1" xfId="0" applyBorder="1" applyAlignment="1">
      <alignment horizontal="right"/>
    </xf>
    <xf numFmtId="3" fontId="0" fillId="0" borderId="1" xfId="0" applyNumberFormat="1" applyBorder="1"/>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xf>
    <xf numFmtId="9" fontId="0" fillId="2" borderId="1" xfId="0" applyNumberFormat="1" applyFill="1" applyBorder="1" applyAlignment="1">
      <alignment horizontal="center"/>
    </xf>
    <xf numFmtId="0" fontId="0" fillId="4" borderId="1" xfId="0" applyFill="1" applyBorder="1" applyAlignment="1">
      <alignment horizontal="center" vertical="center"/>
    </xf>
    <xf numFmtId="0" fontId="0" fillId="4" borderId="1" xfId="0" applyFill="1" applyBorder="1" applyAlignment="1">
      <alignment horizontal="center"/>
    </xf>
    <xf numFmtId="1" fontId="0" fillId="4" borderId="1" xfId="0" applyNumberFormat="1" applyFill="1" applyBorder="1" applyAlignment="1">
      <alignment horizontal="center" vertical="center"/>
    </xf>
    <xf numFmtId="0" fontId="0" fillId="4" borderId="1" xfId="0" applyFill="1" applyBorder="1" applyAlignment="1">
      <alignment horizontal="center" vertical="center" wrapText="1"/>
    </xf>
    <xf numFmtId="0" fontId="0" fillId="4" borderId="0" xfId="0" applyFill="1"/>
    <xf numFmtId="0" fontId="1" fillId="5" borderId="1" xfId="0" applyFont="1" applyFill="1" applyBorder="1" applyAlignment="1">
      <alignment horizontal="center" vertical="center" wrapText="1"/>
    </xf>
    <xf numFmtId="0" fontId="1" fillId="5" borderId="1" xfId="0" applyFont="1" applyFill="1" applyBorder="1" applyAlignment="1">
      <alignment horizontal="center" vertical="center"/>
    </xf>
    <xf numFmtId="0" fontId="0" fillId="0" borderId="1" xfId="0" applyBorder="1" applyAlignment="1">
      <alignment vertical="top" wrapText="1"/>
    </xf>
    <xf numFmtId="0" fontId="0" fillId="6" borderId="1" xfId="0" applyFill="1" applyBorder="1" applyAlignment="1">
      <alignment wrapText="1"/>
    </xf>
    <xf numFmtId="0" fontId="1" fillId="0" borderId="1" xfId="0" applyFont="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
  <sheetViews>
    <sheetView tabSelected="1" topLeftCell="A3" workbookViewId="0">
      <selection activeCell="J24" sqref="J24"/>
    </sheetView>
  </sheetViews>
  <sheetFormatPr defaultRowHeight="15"/>
  <cols>
    <col min="1" max="1" width="23.7109375" bestFit="1" customWidth="1"/>
    <col min="5" max="5" width="21.5703125" customWidth="1"/>
    <col min="8" max="8" width="21.7109375" customWidth="1"/>
    <col min="10" max="10" width="36.5703125" bestFit="1" customWidth="1"/>
    <col min="11" max="11" width="12.85546875" bestFit="1" customWidth="1"/>
    <col min="13" max="13" width="20.85546875" bestFit="1" customWidth="1"/>
  </cols>
  <sheetData>
    <row r="1" spans="1:10" ht="45.75">
      <c r="A1" s="19" t="s">
        <v>0</v>
      </c>
      <c r="B1" s="19" t="s">
        <v>1</v>
      </c>
      <c r="C1" s="19" t="s">
        <v>2</v>
      </c>
      <c r="D1" s="19" t="s">
        <v>3</v>
      </c>
      <c r="E1" s="19" t="s">
        <v>4</v>
      </c>
      <c r="F1" s="19" t="s">
        <v>5</v>
      </c>
      <c r="G1" s="19" t="s">
        <v>6</v>
      </c>
      <c r="H1" s="19" t="s">
        <v>7</v>
      </c>
      <c r="I1" s="20" t="s">
        <v>8</v>
      </c>
      <c r="J1" s="19" t="s">
        <v>9</v>
      </c>
    </row>
    <row r="2" spans="1:10" ht="15" customHeight="1">
      <c r="A2" s="1" t="s">
        <v>10</v>
      </c>
      <c r="B2" s="1">
        <v>4</v>
      </c>
      <c r="C2" s="1">
        <v>2</v>
      </c>
      <c r="D2" s="1">
        <v>0</v>
      </c>
      <c r="E2" s="2">
        <f>D2/C2</f>
        <v>0</v>
      </c>
      <c r="F2" s="11"/>
      <c r="G2" s="11"/>
      <c r="H2" s="11"/>
      <c r="I2" s="23" t="s">
        <v>11</v>
      </c>
      <c r="J2" s="11"/>
    </row>
    <row r="3" spans="1:10">
      <c r="A3" s="1" t="s">
        <v>12</v>
      </c>
      <c r="B3" s="1">
        <v>6</v>
      </c>
      <c r="C3" s="1">
        <v>2</v>
      </c>
      <c r="D3" s="1">
        <v>0</v>
      </c>
      <c r="E3" s="2">
        <f t="shared" ref="E3:E7" si="0">D3/C3</f>
        <v>0</v>
      </c>
      <c r="F3" s="11"/>
      <c r="G3" s="11"/>
      <c r="H3" s="11"/>
      <c r="I3" s="23"/>
      <c r="J3" s="11"/>
    </row>
    <row r="4" spans="1:10">
      <c r="A4" s="1" t="s">
        <v>13</v>
      </c>
      <c r="B4" s="1">
        <v>29</v>
      </c>
      <c r="C4" s="1">
        <v>15</v>
      </c>
      <c r="D4" s="1">
        <v>8</v>
      </c>
      <c r="E4" s="2">
        <f t="shared" si="0"/>
        <v>0.53333333333333333</v>
      </c>
      <c r="F4" s="11"/>
      <c r="G4" s="11"/>
      <c r="H4" s="11"/>
      <c r="I4" s="23"/>
      <c r="J4" s="11"/>
    </row>
    <row r="5" spans="1:10">
      <c r="A5" s="1" t="s">
        <v>14</v>
      </c>
      <c r="B5" s="1">
        <v>10</v>
      </c>
      <c r="C5" s="1">
        <v>4</v>
      </c>
      <c r="D5" s="1">
        <v>4</v>
      </c>
      <c r="E5" s="2">
        <f t="shared" si="0"/>
        <v>1</v>
      </c>
      <c r="F5" s="11"/>
      <c r="G5" s="11"/>
      <c r="H5" s="11"/>
      <c r="I5" s="23"/>
      <c r="J5" s="11"/>
    </row>
    <row r="6" spans="1:10">
      <c r="A6" s="1" t="s">
        <v>15</v>
      </c>
      <c r="B6" s="1">
        <v>6</v>
      </c>
      <c r="C6" s="1">
        <v>1</v>
      </c>
      <c r="D6" s="1">
        <v>0</v>
      </c>
      <c r="E6" s="2">
        <f t="shared" si="0"/>
        <v>0</v>
      </c>
      <c r="F6" s="11"/>
      <c r="G6" s="11"/>
      <c r="H6" s="11"/>
      <c r="I6" s="23"/>
      <c r="J6" s="11"/>
    </row>
    <row r="7" spans="1:10">
      <c r="A7" s="1" t="s">
        <v>16</v>
      </c>
      <c r="B7" s="1">
        <v>7</v>
      </c>
      <c r="C7" s="1">
        <v>1</v>
      </c>
      <c r="D7" s="1">
        <v>0</v>
      </c>
      <c r="E7" s="2">
        <f t="shared" si="0"/>
        <v>0</v>
      </c>
      <c r="F7" s="11"/>
      <c r="G7" s="11"/>
      <c r="H7" s="11"/>
      <c r="I7" s="23"/>
      <c r="J7" s="11"/>
    </row>
    <row r="8" spans="1:10">
      <c r="A8" s="1" t="s">
        <v>17</v>
      </c>
      <c r="B8" s="1">
        <v>14</v>
      </c>
      <c r="C8" s="1">
        <v>4</v>
      </c>
      <c r="D8" s="1">
        <v>1</v>
      </c>
      <c r="E8" s="2">
        <f t="shared" ref="E8:E18" si="1">D8/C8</f>
        <v>0.25</v>
      </c>
      <c r="F8" s="11"/>
      <c r="G8" s="11"/>
      <c r="H8" s="11"/>
      <c r="I8" s="23" t="s">
        <v>18</v>
      </c>
      <c r="J8" s="11"/>
    </row>
    <row r="9" spans="1:10">
      <c r="A9" s="1" t="s">
        <v>19</v>
      </c>
      <c r="B9" s="1">
        <v>9</v>
      </c>
      <c r="C9" s="1">
        <v>1</v>
      </c>
      <c r="D9" s="1">
        <v>0</v>
      </c>
      <c r="E9" s="2">
        <f t="shared" si="1"/>
        <v>0</v>
      </c>
      <c r="F9" s="11"/>
      <c r="G9" s="11"/>
      <c r="H9" s="11"/>
      <c r="I9" s="23"/>
      <c r="J9" s="11"/>
    </row>
    <row r="10" spans="1:10">
      <c r="A10" s="1" t="s">
        <v>20</v>
      </c>
      <c r="B10" s="1">
        <v>4</v>
      </c>
      <c r="C10" s="1">
        <v>2</v>
      </c>
      <c r="D10" s="1">
        <v>0</v>
      </c>
      <c r="E10" s="2">
        <f t="shared" si="1"/>
        <v>0</v>
      </c>
      <c r="F10" s="11"/>
      <c r="G10" s="11"/>
      <c r="H10" s="11"/>
      <c r="I10" s="23"/>
      <c r="J10" s="11"/>
    </row>
    <row r="11" spans="1:10">
      <c r="A11" s="1" t="s">
        <v>21</v>
      </c>
      <c r="B11" s="1">
        <v>7</v>
      </c>
      <c r="C11" s="1">
        <v>1</v>
      </c>
      <c r="D11" s="1">
        <v>1</v>
      </c>
      <c r="E11" s="2">
        <f t="shared" si="1"/>
        <v>1</v>
      </c>
      <c r="F11" s="11"/>
      <c r="G11" s="11"/>
      <c r="H11" s="11"/>
      <c r="I11" s="23"/>
      <c r="J11" s="11"/>
    </row>
    <row r="12" spans="1:10">
      <c r="A12" s="1" t="s">
        <v>22</v>
      </c>
      <c r="B12" s="1">
        <v>10</v>
      </c>
      <c r="C12" s="1">
        <v>2</v>
      </c>
      <c r="D12" s="1">
        <v>1</v>
      </c>
      <c r="E12" s="2">
        <f t="shared" si="1"/>
        <v>0.5</v>
      </c>
      <c r="F12" s="11"/>
      <c r="G12" s="11"/>
      <c r="H12" s="11"/>
      <c r="I12" s="23"/>
      <c r="J12" s="11"/>
    </row>
    <row r="13" spans="1:10">
      <c r="A13" s="1" t="s">
        <v>23</v>
      </c>
      <c r="B13" s="1">
        <v>6</v>
      </c>
      <c r="C13" s="1">
        <v>3</v>
      </c>
      <c r="D13" s="1">
        <v>0</v>
      </c>
      <c r="E13" s="2">
        <f t="shared" si="1"/>
        <v>0</v>
      </c>
      <c r="F13" s="11"/>
      <c r="G13" s="11"/>
      <c r="H13" s="11"/>
      <c r="I13" s="23"/>
      <c r="J13" s="15"/>
    </row>
    <row r="14" spans="1:10" s="18" customFormat="1">
      <c r="A14" s="14">
        <v>5552</v>
      </c>
      <c r="B14" s="16">
        <v>13</v>
      </c>
      <c r="C14" s="16">
        <v>2</v>
      </c>
      <c r="D14" s="17">
        <v>1</v>
      </c>
      <c r="E14" s="2">
        <f t="shared" si="1"/>
        <v>0.5</v>
      </c>
      <c r="F14" s="15"/>
      <c r="G14" s="15"/>
      <c r="H14" s="15"/>
      <c r="I14" s="23" t="s">
        <v>24</v>
      </c>
      <c r="J14" s="11">
        <v>1</v>
      </c>
    </row>
    <row r="15" spans="1:10">
      <c r="A15" s="10">
        <v>5553</v>
      </c>
      <c r="B15" s="11">
        <v>16</v>
      </c>
      <c r="C15" s="11">
        <v>4</v>
      </c>
      <c r="D15" s="11">
        <v>2</v>
      </c>
      <c r="E15" s="2">
        <f t="shared" si="1"/>
        <v>0.5</v>
      </c>
      <c r="F15" s="11"/>
      <c r="G15" s="11"/>
      <c r="H15" s="11"/>
      <c r="I15" s="23"/>
      <c r="J15" s="15">
        <v>2</v>
      </c>
    </row>
    <row r="16" spans="1:10">
      <c r="A16" s="14">
        <v>5555</v>
      </c>
      <c r="B16" s="15">
        <v>54</v>
      </c>
      <c r="C16" s="15">
        <v>27</v>
      </c>
      <c r="D16" s="15">
        <v>12</v>
      </c>
      <c r="E16" s="2">
        <f t="shared" si="1"/>
        <v>0.44444444444444442</v>
      </c>
      <c r="F16" s="15"/>
      <c r="G16" s="15"/>
      <c r="H16" s="15"/>
      <c r="I16" s="23"/>
      <c r="J16" s="15" t="s">
        <v>25</v>
      </c>
    </row>
    <row r="17" spans="1:10">
      <c r="A17" s="14">
        <v>5556</v>
      </c>
      <c r="B17" s="15">
        <v>13</v>
      </c>
      <c r="C17" s="15">
        <v>7</v>
      </c>
      <c r="D17" s="15">
        <v>4</v>
      </c>
      <c r="E17" s="2">
        <f t="shared" si="1"/>
        <v>0.5714285714285714</v>
      </c>
      <c r="F17" s="15"/>
      <c r="G17" s="15"/>
      <c r="H17" s="15"/>
      <c r="I17" s="23"/>
      <c r="J17" s="11">
        <v>3</v>
      </c>
    </row>
    <row r="18" spans="1:10">
      <c r="A18" s="10">
        <v>5558</v>
      </c>
      <c r="B18" s="11">
        <v>18</v>
      </c>
      <c r="C18" s="11">
        <v>1</v>
      </c>
      <c r="D18" s="11">
        <v>0</v>
      </c>
      <c r="E18" s="2">
        <f t="shared" si="1"/>
        <v>0</v>
      </c>
      <c r="F18" s="11"/>
      <c r="G18" s="11"/>
      <c r="H18" s="11"/>
      <c r="I18" s="23"/>
      <c r="J18" s="11">
        <v>1</v>
      </c>
    </row>
    <row r="19" spans="1:10">
      <c r="A19" s="11"/>
      <c r="B19" s="11"/>
      <c r="C19" s="11"/>
      <c r="D19" s="12" t="s">
        <v>26</v>
      </c>
      <c r="E19" s="13">
        <f>AVERAGE(E2:E18)</f>
        <v>0.31171802054154996</v>
      </c>
      <c r="F19" s="11"/>
      <c r="G19" s="11"/>
      <c r="H19" s="11"/>
      <c r="I19" s="11"/>
      <c r="J19" s="11"/>
    </row>
  </sheetData>
  <mergeCells count="3">
    <mergeCell ref="I2:I7"/>
    <mergeCell ref="I8:I13"/>
    <mergeCell ref="I14:I1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5"/>
  <sheetViews>
    <sheetView topLeftCell="A8" zoomScale="50" zoomScaleNormal="50" workbookViewId="0">
      <selection activeCell="H5" sqref="H5"/>
    </sheetView>
  </sheetViews>
  <sheetFormatPr defaultRowHeight="15"/>
  <cols>
    <col min="1" max="1" width="9.7109375" bestFit="1" customWidth="1"/>
    <col min="2" max="2" width="147" hidden="1" customWidth="1"/>
    <col min="3" max="3" width="43.28515625" hidden="1" customWidth="1"/>
    <col min="4" max="4" width="27.28515625" hidden="1" customWidth="1"/>
    <col min="5" max="5" width="49.5703125" hidden="1" customWidth="1"/>
    <col min="6" max="6" width="37.28515625" style="9" hidden="1" customWidth="1"/>
    <col min="7" max="7" width="39.85546875" style="9" hidden="1" customWidth="1"/>
    <col min="8" max="8" width="24.85546875" customWidth="1"/>
    <col min="9" max="9" width="18.85546875" customWidth="1"/>
  </cols>
  <sheetData>
    <row r="1" spans="1:9">
      <c r="A1" s="19" t="s">
        <v>27</v>
      </c>
      <c r="B1" s="19" t="s">
        <v>0</v>
      </c>
      <c r="C1" s="19" t="s">
        <v>28</v>
      </c>
      <c r="D1" s="19" t="s">
        <v>29</v>
      </c>
      <c r="E1" s="19" t="s">
        <v>30</v>
      </c>
      <c r="F1" s="19" t="s">
        <v>31</v>
      </c>
      <c r="G1" s="19" t="s">
        <v>32</v>
      </c>
      <c r="H1" s="19" t="s">
        <v>33</v>
      </c>
      <c r="I1" s="19" t="s">
        <v>34</v>
      </c>
    </row>
    <row r="2" spans="1:9">
      <c r="A2" s="17">
        <v>45452</v>
      </c>
      <c r="B2" s="17"/>
      <c r="C2" s="21" t="s">
        <v>35</v>
      </c>
      <c r="D2" s="17" t="s">
        <v>36</v>
      </c>
      <c r="E2" s="17" t="s">
        <v>37</v>
      </c>
      <c r="F2" s="17" t="s">
        <v>38</v>
      </c>
      <c r="G2" s="17" t="s">
        <v>39</v>
      </c>
      <c r="H2" s="17" t="s">
        <v>40</v>
      </c>
      <c r="I2" s="14" t="s">
        <v>41</v>
      </c>
    </row>
    <row r="3" spans="1:9" ht="409.5">
      <c r="A3" s="17">
        <v>45442</v>
      </c>
      <c r="B3" s="21" t="s">
        <v>42</v>
      </c>
      <c r="C3" s="17" t="s">
        <v>43</v>
      </c>
      <c r="D3" s="24" t="s">
        <v>44</v>
      </c>
      <c r="E3" s="17" t="s">
        <v>45</v>
      </c>
      <c r="F3" s="24" t="s">
        <v>46</v>
      </c>
      <c r="G3" s="24"/>
      <c r="H3" s="17" t="s">
        <v>47</v>
      </c>
      <c r="I3" s="14" t="s">
        <v>41</v>
      </c>
    </row>
    <row r="4" spans="1:9">
      <c r="A4" s="17">
        <v>45528</v>
      </c>
      <c r="B4" s="21" t="s">
        <v>42</v>
      </c>
      <c r="C4" s="17" t="s">
        <v>48</v>
      </c>
      <c r="D4" s="24"/>
      <c r="E4" s="17" t="s">
        <v>45</v>
      </c>
      <c r="F4" s="24" t="s">
        <v>46</v>
      </c>
      <c r="G4" s="24"/>
      <c r="H4" s="17" t="s">
        <v>47</v>
      </c>
      <c r="I4" s="14" t="s">
        <v>41</v>
      </c>
    </row>
    <row r="5" spans="1:9">
      <c r="A5" s="17">
        <v>45436</v>
      </c>
      <c r="B5" s="21" t="s">
        <v>42</v>
      </c>
      <c r="C5" s="21" t="s">
        <v>49</v>
      </c>
      <c r="D5" s="17" t="s">
        <v>50</v>
      </c>
      <c r="E5" s="17" t="s">
        <v>37</v>
      </c>
      <c r="F5" s="17" t="s">
        <v>51</v>
      </c>
      <c r="G5" s="17" t="s">
        <v>52</v>
      </c>
      <c r="H5" s="17" t="s">
        <v>53</v>
      </c>
      <c r="I5" s="14" t="s">
        <v>41</v>
      </c>
    </row>
    <row r="6" spans="1:9">
      <c r="A6" s="17">
        <v>45437</v>
      </c>
      <c r="B6" s="21" t="s">
        <v>42</v>
      </c>
      <c r="C6" s="5" t="s">
        <v>54</v>
      </c>
      <c r="D6" s="17" t="s">
        <v>50</v>
      </c>
      <c r="E6" s="17" t="s">
        <v>37</v>
      </c>
      <c r="F6" s="17" t="s">
        <v>55</v>
      </c>
      <c r="G6" s="17" t="s">
        <v>56</v>
      </c>
      <c r="H6" s="17" t="s">
        <v>53</v>
      </c>
      <c r="I6" s="14" t="s">
        <v>41</v>
      </c>
    </row>
    <row r="7" spans="1:9" ht="409.5">
      <c r="A7" s="17">
        <v>45623</v>
      </c>
      <c r="B7" s="5" t="s">
        <v>57</v>
      </c>
      <c r="C7" s="5" t="s">
        <v>58</v>
      </c>
      <c r="D7" s="17" t="s">
        <v>50</v>
      </c>
      <c r="E7" s="17" t="s">
        <v>37</v>
      </c>
      <c r="F7" s="17" t="s">
        <v>59</v>
      </c>
      <c r="G7" s="17" t="s">
        <v>52</v>
      </c>
      <c r="H7" s="17" t="s">
        <v>53</v>
      </c>
      <c r="I7" s="14" t="s">
        <v>41</v>
      </c>
    </row>
    <row r="8" spans="1:9" ht="409.5">
      <c r="A8" s="17">
        <v>45582</v>
      </c>
      <c r="B8" s="5" t="s">
        <v>60</v>
      </c>
      <c r="C8" s="5" t="s">
        <v>61</v>
      </c>
      <c r="D8" s="17" t="s">
        <v>50</v>
      </c>
      <c r="E8" s="17" t="s">
        <v>45</v>
      </c>
      <c r="F8" s="24" t="s">
        <v>46</v>
      </c>
      <c r="G8" s="24"/>
      <c r="H8" s="17" t="s">
        <v>53</v>
      </c>
      <c r="I8" s="14" t="s">
        <v>41</v>
      </c>
    </row>
    <row r="9" spans="1:9" ht="409.5">
      <c r="A9" s="17">
        <v>45601</v>
      </c>
      <c r="B9" s="5" t="s">
        <v>62</v>
      </c>
      <c r="C9" s="5" t="s">
        <v>63</v>
      </c>
      <c r="D9" s="17" t="s">
        <v>50</v>
      </c>
      <c r="E9" s="17" t="s">
        <v>37</v>
      </c>
      <c r="F9" s="17" t="s">
        <v>64</v>
      </c>
      <c r="G9" s="17" t="s">
        <v>52</v>
      </c>
      <c r="H9" s="17" t="s">
        <v>53</v>
      </c>
      <c r="I9" s="14" t="s">
        <v>41</v>
      </c>
    </row>
    <row r="10" spans="1:9" ht="409.5">
      <c r="A10" s="17">
        <v>45405</v>
      </c>
      <c r="B10" s="5" t="s">
        <v>65</v>
      </c>
      <c r="C10" s="5" t="s">
        <v>66</v>
      </c>
      <c r="D10" s="17" t="s">
        <v>50</v>
      </c>
      <c r="E10" s="17" t="s">
        <v>37</v>
      </c>
      <c r="F10" s="24" t="s">
        <v>46</v>
      </c>
      <c r="G10" s="24"/>
      <c r="H10" s="17" t="s">
        <v>53</v>
      </c>
      <c r="I10" s="14" t="s">
        <v>41</v>
      </c>
    </row>
    <row r="11" spans="1:9" ht="409.5">
      <c r="A11" s="17">
        <v>45549</v>
      </c>
      <c r="B11" s="5" t="s">
        <v>65</v>
      </c>
      <c r="C11" s="5" t="s">
        <v>67</v>
      </c>
      <c r="D11" s="17" t="s">
        <v>50</v>
      </c>
      <c r="E11" s="17" t="s">
        <v>68</v>
      </c>
      <c r="F11" s="24" t="s">
        <v>46</v>
      </c>
      <c r="G11" s="24"/>
      <c r="H11" s="17" t="s">
        <v>53</v>
      </c>
      <c r="I11" s="14" t="s">
        <v>41</v>
      </c>
    </row>
    <row r="12" spans="1:9" ht="409.5">
      <c r="A12" s="17">
        <v>45386</v>
      </c>
      <c r="B12" s="5" t="s">
        <v>57</v>
      </c>
      <c r="C12" s="5" t="s">
        <v>69</v>
      </c>
      <c r="D12" s="17" t="s">
        <v>50</v>
      </c>
      <c r="E12" s="17" t="s">
        <v>37</v>
      </c>
      <c r="F12" s="17" t="s">
        <v>70</v>
      </c>
      <c r="G12" s="17" t="s">
        <v>71</v>
      </c>
      <c r="H12" s="17" t="s">
        <v>53</v>
      </c>
      <c r="I12" s="14" t="s">
        <v>41</v>
      </c>
    </row>
    <row r="13" spans="1:9" ht="409.5">
      <c r="A13" s="17">
        <v>45516</v>
      </c>
      <c r="B13" s="5" t="s">
        <v>57</v>
      </c>
      <c r="C13" s="5" t="s">
        <v>72</v>
      </c>
      <c r="D13" s="17" t="s">
        <v>50</v>
      </c>
      <c r="E13" s="17" t="s">
        <v>37</v>
      </c>
      <c r="F13" s="17" t="s">
        <v>73</v>
      </c>
      <c r="G13" s="17" t="s">
        <v>74</v>
      </c>
      <c r="H13" s="17" t="s">
        <v>53</v>
      </c>
      <c r="I13" s="14" t="s">
        <v>41</v>
      </c>
    </row>
    <row r="14" spans="1:9" ht="375">
      <c r="A14" s="17">
        <v>45389</v>
      </c>
      <c r="B14" s="5" t="s">
        <v>57</v>
      </c>
      <c r="C14" s="22" t="s">
        <v>75</v>
      </c>
      <c r="D14" s="17" t="s">
        <v>50</v>
      </c>
      <c r="E14" s="17" t="s">
        <v>37</v>
      </c>
      <c r="F14" s="24" t="s">
        <v>46</v>
      </c>
      <c r="G14" s="24"/>
      <c r="H14" s="17" t="s">
        <v>53</v>
      </c>
      <c r="I14" s="14" t="s">
        <v>41</v>
      </c>
    </row>
    <row r="15" spans="1:9" ht="409.5">
      <c r="A15" s="17">
        <v>45413</v>
      </c>
      <c r="B15" s="5" t="s">
        <v>57</v>
      </c>
      <c r="C15" s="5" t="s">
        <v>76</v>
      </c>
      <c r="D15" s="17" t="s">
        <v>50</v>
      </c>
      <c r="E15" s="17" t="s">
        <v>77</v>
      </c>
      <c r="F15" s="24" t="s">
        <v>46</v>
      </c>
      <c r="G15" s="24"/>
      <c r="H15" s="17" t="s">
        <v>53</v>
      </c>
      <c r="I15" s="14" t="s">
        <v>41</v>
      </c>
    </row>
    <row r="16" spans="1:9" ht="409.5">
      <c r="A16" s="17">
        <v>45414</v>
      </c>
      <c r="B16" s="5" t="s">
        <v>57</v>
      </c>
      <c r="C16" s="5" t="s">
        <v>78</v>
      </c>
      <c r="D16" s="17" t="s">
        <v>50</v>
      </c>
      <c r="E16" s="17" t="s">
        <v>37</v>
      </c>
      <c r="F16" s="24" t="s">
        <v>46</v>
      </c>
      <c r="G16" s="24"/>
      <c r="H16" s="17" t="s">
        <v>53</v>
      </c>
      <c r="I16" s="14" t="s">
        <v>41</v>
      </c>
    </row>
    <row r="17" spans="1:9" ht="409.5">
      <c r="A17" s="17">
        <v>45415</v>
      </c>
      <c r="B17" s="5" t="s">
        <v>57</v>
      </c>
      <c r="C17" s="5" t="s">
        <v>79</v>
      </c>
      <c r="D17" s="17" t="s">
        <v>50</v>
      </c>
      <c r="E17" s="17"/>
      <c r="F17" s="24" t="s">
        <v>46</v>
      </c>
      <c r="G17" s="24"/>
      <c r="H17" s="17" t="s">
        <v>53</v>
      </c>
      <c r="I17" s="14" t="s">
        <v>41</v>
      </c>
    </row>
    <row r="18" spans="1:9" ht="409.5">
      <c r="A18" s="17">
        <v>45550</v>
      </c>
      <c r="B18" s="5" t="s">
        <v>57</v>
      </c>
      <c r="C18" s="5" t="s">
        <v>80</v>
      </c>
      <c r="D18" s="17" t="s">
        <v>50</v>
      </c>
      <c r="E18" s="17"/>
      <c r="F18" s="17" t="s">
        <v>81</v>
      </c>
      <c r="G18" s="17" t="s">
        <v>82</v>
      </c>
      <c r="H18" s="17" t="s">
        <v>53</v>
      </c>
      <c r="I18" s="14" t="s">
        <v>41</v>
      </c>
    </row>
    <row r="19" spans="1:9" ht="375">
      <c r="A19" s="17">
        <v>45603</v>
      </c>
      <c r="B19" s="1" t="s">
        <v>83</v>
      </c>
      <c r="C19" s="17" t="s">
        <v>84</v>
      </c>
      <c r="D19" s="17" t="s">
        <v>50</v>
      </c>
      <c r="E19" s="17"/>
      <c r="F19" s="24" t="s">
        <v>46</v>
      </c>
      <c r="G19" s="24"/>
      <c r="H19" s="17" t="s">
        <v>85</v>
      </c>
      <c r="I19" s="14" t="s">
        <v>41</v>
      </c>
    </row>
    <row r="20" spans="1:9" ht="409.5">
      <c r="A20" s="17">
        <v>45434</v>
      </c>
      <c r="B20" s="1" t="s">
        <v>83</v>
      </c>
      <c r="C20" s="17" t="s">
        <v>86</v>
      </c>
      <c r="D20" s="24" t="s">
        <v>87</v>
      </c>
      <c r="E20" s="14"/>
      <c r="F20" s="17" t="s">
        <v>88</v>
      </c>
      <c r="G20" s="17" t="s">
        <v>89</v>
      </c>
      <c r="H20" s="17" t="s">
        <v>90</v>
      </c>
      <c r="I20" s="14" t="s">
        <v>41</v>
      </c>
    </row>
    <row r="21" spans="1:9" ht="409.5">
      <c r="A21" s="17">
        <v>45461</v>
      </c>
      <c r="B21" s="17" t="s">
        <v>83</v>
      </c>
      <c r="C21" s="17" t="s">
        <v>91</v>
      </c>
      <c r="D21" s="24"/>
      <c r="E21" s="14"/>
      <c r="F21" s="24" t="s">
        <v>46</v>
      </c>
      <c r="G21" s="24"/>
      <c r="H21" s="17" t="s">
        <v>53</v>
      </c>
      <c r="I21" s="14" t="s">
        <v>41</v>
      </c>
    </row>
    <row r="22" spans="1:9" ht="409.5">
      <c r="A22" s="17">
        <v>45472</v>
      </c>
      <c r="B22" s="17" t="s">
        <v>83</v>
      </c>
      <c r="C22" s="17" t="s">
        <v>92</v>
      </c>
      <c r="D22" s="24"/>
      <c r="E22" s="14"/>
      <c r="F22" s="17" t="s">
        <v>93</v>
      </c>
      <c r="G22" s="17" t="s">
        <v>94</v>
      </c>
      <c r="H22" s="17" t="s">
        <v>53</v>
      </c>
      <c r="I22" s="14" t="s">
        <v>41</v>
      </c>
    </row>
    <row r="23" spans="1:9" ht="409.5">
      <c r="A23" s="17">
        <v>45518</v>
      </c>
      <c r="B23" s="17" t="s">
        <v>95</v>
      </c>
      <c r="C23" s="17" t="s">
        <v>96</v>
      </c>
      <c r="D23" s="17" t="s">
        <v>97</v>
      </c>
      <c r="E23" s="14"/>
      <c r="F23" s="17" t="s">
        <v>98</v>
      </c>
      <c r="G23" s="17" t="s">
        <v>99</v>
      </c>
      <c r="H23" s="17" t="s">
        <v>100</v>
      </c>
      <c r="I23" s="14" t="s">
        <v>41</v>
      </c>
    </row>
    <row r="24" spans="1:9" ht="360">
      <c r="A24" s="17">
        <v>45372</v>
      </c>
      <c r="B24" s="17" t="s">
        <v>101</v>
      </c>
      <c r="C24" s="17" t="s">
        <v>102</v>
      </c>
      <c r="D24" s="25" t="s">
        <v>103</v>
      </c>
      <c r="E24" s="14"/>
      <c r="F24" s="24" t="s">
        <v>104</v>
      </c>
      <c r="G24" s="24"/>
      <c r="H24" s="24"/>
      <c r="I24" s="14" t="s">
        <v>41</v>
      </c>
    </row>
    <row r="25" spans="1:9" ht="409.5">
      <c r="A25" s="17">
        <v>45293</v>
      </c>
      <c r="B25" s="17" t="s">
        <v>101</v>
      </c>
      <c r="C25" s="17" t="s">
        <v>105</v>
      </c>
      <c r="D25" s="25"/>
      <c r="E25" s="17"/>
      <c r="F25" s="17" t="s">
        <v>106</v>
      </c>
      <c r="G25" s="14" t="s">
        <v>107</v>
      </c>
      <c r="H25" s="14" t="s">
        <v>90</v>
      </c>
      <c r="I25" s="14" t="s">
        <v>41</v>
      </c>
    </row>
    <row r="26" spans="1:9" ht="345">
      <c r="A26" s="17">
        <v>45298</v>
      </c>
      <c r="B26" s="17" t="s">
        <v>101</v>
      </c>
      <c r="C26" s="17" t="s">
        <v>108</v>
      </c>
      <c r="D26" s="25"/>
      <c r="E26" s="14"/>
      <c r="F26" s="17" t="s">
        <v>109</v>
      </c>
      <c r="G26" s="17" t="s">
        <v>110</v>
      </c>
      <c r="H26" s="14" t="s">
        <v>85</v>
      </c>
      <c r="I26" s="14" t="s">
        <v>41</v>
      </c>
    </row>
    <row r="27" spans="1:9" ht="30">
      <c r="A27" s="17">
        <v>45299</v>
      </c>
      <c r="B27" s="17"/>
      <c r="C27" s="17"/>
      <c r="D27" s="14" t="s">
        <v>111</v>
      </c>
      <c r="E27" s="14"/>
      <c r="F27" s="17" t="s">
        <v>112</v>
      </c>
      <c r="G27" s="17" t="s">
        <v>113</v>
      </c>
      <c r="H27" s="14" t="s">
        <v>90</v>
      </c>
      <c r="I27" s="14" t="s">
        <v>41</v>
      </c>
    </row>
    <row r="28" spans="1:9" ht="30">
      <c r="A28" s="17">
        <v>45339</v>
      </c>
      <c r="B28" s="17"/>
      <c r="C28" s="17"/>
      <c r="D28" s="25" t="s">
        <v>114</v>
      </c>
      <c r="E28" s="17"/>
      <c r="F28" s="17" t="s">
        <v>115</v>
      </c>
      <c r="G28" s="17" t="s">
        <v>116</v>
      </c>
      <c r="H28" s="14" t="s">
        <v>53</v>
      </c>
      <c r="I28" s="14" t="s">
        <v>41</v>
      </c>
    </row>
    <row r="29" spans="1:9">
      <c r="A29" s="17">
        <v>45341</v>
      </c>
      <c r="B29" s="17"/>
      <c r="C29" s="17"/>
      <c r="D29" s="25"/>
      <c r="E29" s="14"/>
      <c r="F29" s="24" t="s">
        <v>104</v>
      </c>
      <c r="G29" s="24"/>
      <c r="H29" s="24"/>
      <c r="I29" s="14" t="s">
        <v>41</v>
      </c>
    </row>
    <row r="30" spans="1:9" ht="30">
      <c r="A30" s="17">
        <v>45297</v>
      </c>
      <c r="B30" s="17"/>
      <c r="C30" s="17"/>
      <c r="D30" s="14" t="s">
        <v>117</v>
      </c>
      <c r="E30" s="17"/>
      <c r="F30" s="17" t="s">
        <v>118</v>
      </c>
      <c r="G30" s="17" t="s">
        <v>119</v>
      </c>
      <c r="H30" s="14" t="s">
        <v>90</v>
      </c>
      <c r="I30" s="14" t="s">
        <v>41</v>
      </c>
    </row>
    <row r="31" spans="1:9">
      <c r="A31" s="17">
        <v>45306</v>
      </c>
      <c r="B31" s="17"/>
      <c r="C31" s="17"/>
      <c r="D31" s="25" t="s">
        <v>120</v>
      </c>
      <c r="E31" s="17"/>
      <c r="F31" s="17" t="s">
        <v>121</v>
      </c>
      <c r="G31" s="14" t="s">
        <v>122</v>
      </c>
      <c r="H31" s="14" t="s">
        <v>90</v>
      </c>
      <c r="I31" s="14" t="s">
        <v>41</v>
      </c>
    </row>
    <row r="32" spans="1:9">
      <c r="A32" s="17">
        <v>45333</v>
      </c>
      <c r="B32" s="17"/>
      <c r="C32" s="17"/>
      <c r="D32" s="25"/>
      <c r="E32" s="17"/>
      <c r="F32" s="24" t="s">
        <v>104</v>
      </c>
      <c r="G32" s="24"/>
      <c r="H32" s="24"/>
      <c r="I32" s="14" t="s">
        <v>41</v>
      </c>
    </row>
    <row r="33" spans="1:9">
      <c r="A33" s="17">
        <v>45371</v>
      </c>
      <c r="B33" s="17"/>
      <c r="C33" s="17"/>
      <c r="D33" s="25"/>
      <c r="E33" s="14"/>
      <c r="F33" s="17" t="s">
        <v>123</v>
      </c>
      <c r="G33" s="14" t="s">
        <v>124</v>
      </c>
      <c r="H33" s="14" t="s">
        <v>85</v>
      </c>
      <c r="I33" s="14" t="s">
        <v>41</v>
      </c>
    </row>
    <row r="34" spans="1:9" ht="30">
      <c r="A34" s="17">
        <v>43090</v>
      </c>
      <c r="B34" s="17"/>
      <c r="C34" s="17"/>
      <c r="D34" s="24" t="s">
        <v>125</v>
      </c>
      <c r="E34" s="14"/>
      <c r="F34" s="17" t="s">
        <v>126</v>
      </c>
      <c r="G34" s="17" t="s">
        <v>127</v>
      </c>
      <c r="H34" s="17" t="s">
        <v>90</v>
      </c>
      <c r="I34" s="14" t="s">
        <v>41</v>
      </c>
    </row>
    <row r="35" spans="1:9" ht="30">
      <c r="A35" s="17">
        <v>43115</v>
      </c>
      <c r="B35" s="17"/>
      <c r="C35" s="17"/>
      <c r="D35" s="24"/>
      <c r="E35" s="14"/>
      <c r="F35" s="17" t="s">
        <v>128</v>
      </c>
      <c r="G35" s="17" t="s">
        <v>129</v>
      </c>
      <c r="H35" s="17" t="s">
        <v>130</v>
      </c>
      <c r="I35" s="14" t="s">
        <v>41</v>
      </c>
    </row>
    <row r="36" spans="1:9" ht="30">
      <c r="A36" s="17">
        <v>43081</v>
      </c>
      <c r="B36" s="17"/>
      <c r="C36" s="17"/>
      <c r="D36" s="17" t="s">
        <v>131</v>
      </c>
      <c r="E36" s="14"/>
      <c r="F36" s="17" t="s">
        <v>132</v>
      </c>
      <c r="G36" s="17" t="s">
        <v>133</v>
      </c>
      <c r="H36" s="17" t="s">
        <v>130</v>
      </c>
      <c r="I36" s="14" t="s">
        <v>41</v>
      </c>
    </row>
    <row r="37" spans="1:9" ht="30">
      <c r="A37" s="17">
        <v>42887</v>
      </c>
      <c r="B37" s="17"/>
      <c r="C37" s="17"/>
      <c r="D37" s="25" t="s">
        <v>134</v>
      </c>
      <c r="E37" s="14"/>
      <c r="F37" s="17" t="s">
        <v>135</v>
      </c>
      <c r="G37" s="17" t="s">
        <v>136</v>
      </c>
      <c r="H37" s="14" t="s">
        <v>137</v>
      </c>
      <c r="I37" s="14" t="s">
        <v>41</v>
      </c>
    </row>
    <row r="38" spans="1:9">
      <c r="A38" s="17">
        <v>42903</v>
      </c>
      <c r="B38" s="17"/>
      <c r="C38" s="17"/>
      <c r="D38" s="25"/>
      <c r="E38" s="14"/>
      <c r="F38" s="17" t="s">
        <v>138</v>
      </c>
      <c r="G38" s="17" t="s">
        <v>139</v>
      </c>
      <c r="H38" s="14" t="s">
        <v>90</v>
      </c>
      <c r="I38" s="14" t="s">
        <v>41</v>
      </c>
    </row>
    <row r="39" spans="1:9" ht="90">
      <c r="A39" s="17">
        <v>43001</v>
      </c>
      <c r="B39" s="17"/>
      <c r="C39" s="17"/>
      <c r="D39" s="25"/>
      <c r="E39" s="14"/>
      <c r="F39" s="17" t="s">
        <v>140</v>
      </c>
      <c r="G39" s="17" t="s">
        <v>141</v>
      </c>
      <c r="H39" s="14" t="s">
        <v>53</v>
      </c>
      <c r="I39" s="14" t="s">
        <v>41</v>
      </c>
    </row>
    <row r="40" spans="1:9" ht="60">
      <c r="A40" s="17">
        <v>43202</v>
      </c>
      <c r="B40" s="17"/>
      <c r="C40" s="17"/>
      <c r="D40" s="25"/>
      <c r="E40" s="14"/>
      <c r="F40" s="17" t="s">
        <v>142</v>
      </c>
      <c r="G40" s="17" t="s">
        <v>143</v>
      </c>
      <c r="H40" s="14" t="s">
        <v>53</v>
      </c>
      <c r="I40" s="14" t="s">
        <v>41</v>
      </c>
    </row>
    <row r="41" spans="1:9" ht="45">
      <c r="A41" s="17">
        <v>43207</v>
      </c>
      <c r="B41" s="17"/>
      <c r="C41" s="17"/>
      <c r="D41" s="25"/>
      <c r="E41" s="17"/>
      <c r="F41" s="17" t="s">
        <v>144</v>
      </c>
      <c r="G41" s="17" t="s">
        <v>145</v>
      </c>
      <c r="H41" s="14" t="s">
        <v>85</v>
      </c>
      <c r="I41" s="14" t="s">
        <v>41</v>
      </c>
    </row>
    <row r="42" spans="1:9" ht="58.5" customHeight="1">
      <c r="A42" s="17">
        <v>43227</v>
      </c>
      <c r="B42" s="17"/>
      <c r="C42" s="17"/>
      <c r="D42" s="25"/>
      <c r="E42" s="10"/>
      <c r="F42" s="17" t="s">
        <v>142</v>
      </c>
      <c r="G42" s="17" t="s">
        <v>143</v>
      </c>
      <c r="H42" s="14" t="s">
        <v>53</v>
      </c>
      <c r="I42" s="14" t="s">
        <v>41</v>
      </c>
    </row>
    <row r="43" spans="1:9" ht="45">
      <c r="A43" s="17">
        <v>43239</v>
      </c>
      <c r="B43" s="17"/>
      <c r="C43" s="17"/>
      <c r="D43" s="25"/>
      <c r="E43" s="10"/>
      <c r="F43" s="17" t="s">
        <v>144</v>
      </c>
      <c r="G43" s="17" t="s">
        <v>145</v>
      </c>
      <c r="H43" s="14" t="s">
        <v>85</v>
      </c>
      <c r="I43" s="14" t="s">
        <v>41</v>
      </c>
    </row>
    <row r="44" spans="1:9" ht="45">
      <c r="A44" s="17">
        <v>43166</v>
      </c>
      <c r="B44" s="17"/>
      <c r="C44" s="17"/>
      <c r="D44" s="14" t="s">
        <v>146</v>
      </c>
      <c r="E44" s="10"/>
      <c r="F44" s="17" t="s">
        <v>147</v>
      </c>
      <c r="G44" s="17" t="s">
        <v>148</v>
      </c>
      <c r="H44" s="14" t="s">
        <v>90</v>
      </c>
      <c r="I44" s="14" t="s">
        <v>41</v>
      </c>
    </row>
    <row r="45" spans="1:9" ht="30">
      <c r="A45" s="17">
        <v>43165</v>
      </c>
      <c r="B45" s="17"/>
      <c r="C45" s="17"/>
      <c r="D45" s="17" t="s">
        <v>149</v>
      </c>
      <c r="E45" s="10"/>
      <c r="F45" s="17" t="s">
        <v>150</v>
      </c>
      <c r="G45" s="17" t="s">
        <v>151</v>
      </c>
      <c r="H45" s="17" t="s">
        <v>85</v>
      </c>
      <c r="I45" s="14" t="s">
        <v>41</v>
      </c>
    </row>
  </sheetData>
  <autoFilter ref="A1:I45" xr:uid="{00000000-0001-0000-0100-000000000000}"/>
  <mergeCells count="21">
    <mergeCell ref="D31:D33"/>
    <mergeCell ref="D34:D35"/>
    <mergeCell ref="D37:D43"/>
    <mergeCell ref="D3:D4"/>
    <mergeCell ref="D20:D22"/>
    <mergeCell ref="D24:D26"/>
    <mergeCell ref="D28:D29"/>
    <mergeCell ref="F8:G8"/>
    <mergeCell ref="F10:G10"/>
    <mergeCell ref="F3:G3"/>
    <mergeCell ref="F4:G4"/>
    <mergeCell ref="F29:H29"/>
    <mergeCell ref="F24:H24"/>
    <mergeCell ref="F32:H32"/>
    <mergeCell ref="F21:G21"/>
    <mergeCell ref="F11:G11"/>
    <mergeCell ref="F14:G14"/>
    <mergeCell ref="F15:G15"/>
    <mergeCell ref="F16:G16"/>
    <mergeCell ref="F17:G17"/>
    <mergeCell ref="F19:G19"/>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37745-ED5E-421F-9F91-05B588541767}">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5"/>
  <sheetViews>
    <sheetView zoomScaleNormal="100" workbookViewId="0">
      <selection activeCell="F16" sqref="F16"/>
    </sheetView>
  </sheetViews>
  <sheetFormatPr defaultRowHeight="15"/>
  <cols>
    <col min="1" max="1" width="16.5703125" bestFit="1" customWidth="1"/>
    <col min="2" max="2" width="11.5703125" customWidth="1"/>
    <col min="3" max="3" width="8.7109375" bestFit="1" customWidth="1"/>
    <col min="4" max="4" width="80.28515625" customWidth="1"/>
  </cols>
  <sheetData>
    <row r="1" spans="1:4">
      <c r="A1" s="20" t="s">
        <v>29</v>
      </c>
      <c r="B1" t="s">
        <v>152</v>
      </c>
      <c r="C1" t="s">
        <v>153</v>
      </c>
      <c r="D1" t="s">
        <v>154</v>
      </c>
    </row>
    <row r="2" spans="1:4">
      <c r="A2" s="14" t="s">
        <v>36</v>
      </c>
      <c r="B2">
        <v>45386</v>
      </c>
      <c r="C2">
        <v>5555</v>
      </c>
      <c r="D2" t="s">
        <v>155</v>
      </c>
    </row>
    <row r="3" spans="1:4">
      <c r="A3" s="14" t="s">
        <v>44</v>
      </c>
      <c r="B3">
        <v>45389</v>
      </c>
      <c r="C3">
        <v>5555</v>
      </c>
      <c r="D3" t="s">
        <v>156</v>
      </c>
    </row>
    <row r="4" spans="1:4">
      <c r="A4" s="14" t="s">
        <v>44</v>
      </c>
      <c r="B4">
        <v>45405</v>
      </c>
      <c r="C4">
        <v>5555</v>
      </c>
      <c r="D4" t="s">
        <v>157</v>
      </c>
    </row>
    <row r="5" spans="1:4">
      <c r="A5" s="14" t="s">
        <v>50</v>
      </c>
      <c r="B5">
        <v>45413</v>
      </c>
      <c r="C5">
        <v>5555</v>
      </c>
      <c r="D5" t="s">
        <v>158</v>
      </c>
    </row>
    <row r="6" spans="1:4">
      <c r="A6" s="14" t="s">
        <v>50</v>
      </c>
      <c r="B6">
        <v>45414</v>
      </c>
      <c r="C6">
        <v>5555</v>
      </c>
      <c r="D6" t="s">
        <v>159</v>
      </c>
    </row>
    <row r="7" spans="1:4">
      <c r="A7" s="14" t="s">
        <v>50</v>
      </c>
      <c r="B7">
        <v>45415</v>
      </c>
      <c r="C7">
        <v>5555</v>
      </c>
      <c r="D7" t="s">
        <v>160</v>
      </c>
    </row>
    <row r="8" spans="1:4">
      <c r="A8" s="14" t="s">
        <v>50</v>
      </c>
      <c r="B8">
        <v>45434</v>
      </c>
      <c r="C8">
        <v>5556</v>
      </c>
      <c r="D8" t="s">
        <v>161</v>
      </c>
    </row>
    <row r="9" spans="1:4">
      <c r="A9" s="14" t="s">
        <v>50</v>
      </c>
      <c r="B9">
        <v>45436</v>
      </c>
      <c r="C9">
        <v>5555</v>
      </c>
      <c r="D9" t="s">
        <v>162</v>
      </c>
    </row>
    <row r="10" spans="1:4">
      <c r="A10" s="14" t="s">
        <v>50</v>
      </c>
      <c r="B10">
        <v>45437</v>
      </c>
      <c r="C10">
        <v>5555</v>
      </c>
      <c r="D10" t="s">
        <v>163</v>
      </c>
    </row>
    <row r="11" spans="1:4">
      <c r="A11" s="14" t="s">
        <v>50</v>
      </c>
      <c r="B11">
        <v>45442</v>
      </c>
      <c r="C11">
        <v>5553</v>
      </c>
      <c r="D11" t="s">
        <v>164</v>
      </c>
    </row>
    <row r="12" spans="1:4">
      <c r="A12" s="14" t="s">
        <v>50</v>
      </c>
      <c r="B12">
        <v>45452</v>
      </c>
      <c r="C12">
        <v>5552</v>
      </c>
      <c r="D12" t="s">
        <v>165</v>
      </c>
    </row>
    <row r="13" spans="1:4">
      <c r="A13" s="14" t="s">
        <v>50</v>
      </c>
      <c r="B13">
        <v>45461</v>
      </c>
      <c r="C13">
        <v>5556</v>
      </c>
      <c r="D13" t="s">
        <v>166</v>
      </c>
    </row>
    <row r="14" spans="1:4">
      <c r="A14" s="14" t="s">
        <v>50</v>
      </c>
      <c r="B14">
        <v>45472</v>
      </c>
      <c r="C14">
        <v>5556</v>
      </c>
      <c r="D14" t="s">
        <v>167</v>
      </c>
    </row>
    <row r="15" spans="1:4">
      <c r="A15" s="14" t="s">
        <v>50</v>
      </c>
      <c r="B15">
        <v>45516</v>
      </c>
      <c r="C15">
        <v>5555</v>
      </c>
      <c r="D15" t="s">
        <v>168</v>
      </c>
    </row>
    <row r="16" spans="1:4">
      <c r="A16" s="14" t="s">
        <v>50</v>
      </c>
      <c r="B16">
        <v>45518</v>
      </c>
      <c r="C16">
        <v>5558</v>
      </c>
      <c r="D16" t="s">
        <v>169</v>
      </c>
    </row>
    <row r="17" spans="1:4" ht="30.75">
      <c r="A17" s="14" t="s">
        <v>50</v>
      </c>
      <c r="B17">
        <v>45528</v>
      </c>
      <c r="C17">
        <v>5553</v>
      </c>
      <c r="D17" s="9" t="s">
        <v>170</v>
      </c>
    </row>
    <row r="18" spans="1:4">
      <c r="A18" s="14" t="s">
        <v>50</v>
      </c>
      <c r="B18">
        <v>45549</v>
      </c>
      <c r="C18">
        <v>5555</v>
      </c>
      <c r="D18" t="s">
        <v>171</v>
      </c>
    </row>
    <row r="19" spans="1:4">
      <c r="A19" s="14" t="s">
        <v>50</v>
      </c>
      <c r="B19">
        <v>45550</v>
      </c>
      <c r="C19">
        <v>5555</v>
      </c>
      <c r="D19" t="s">
        <v>172</v>
      </c>
    </row>
    <row r="20" spans="1:4">
      <c r="A20" s="14" t="s">
        <v>87</v>
      </c>
      <c r="B20">
        <v>45582</v>
      </c>
      <c r="C20">
        <v>5555</v>
      </c>
      <c r="D20" t="s">
        <v>173</v>
      </c>
    </row>
    <row r="21" spans="1:4">
      <c r="A21" s="14" t="s">
        <v>87</v>
      </c>
      <c r="B21">
        <v>45601</v>
      </c>
      <c r="C21">
        <v>5555</v>
      </c>
      <c r="D21" t="s">
        <v>174</v>
      </c>
    </row>
    <row r="22" spans="1:4">
      <c r="A22" s="14" t="s">
        <v>87</v>
      </c>
      <c r="B22">
        <v>45603</v>
      </c>
      <c r="C22">
        <v>5555</v>
      </c>
      <c r="D22" t="s">
        <v>175</v>
      </c>
    </row>
    <row r="23" spans="1:4" ht="30">
      <c r="A23" s="14" t="s">
        <v>97</v>
      </c>
      <c r="B23">
        <v>45623</v>
      </c>
      <c r="C23">
        <v>5555</v>
      </c>
      <c r="D23" s="9" t="s">
        <v>176</v>
      </c>
    </row>
    <row r="24" spans="1:4">
      <c r="A24" s="14" t="s">
        <v>103</v>
      </c>
      <c r="B24">
        <v>45293</v>
      </c>
      <c r="C24" t="s">
        <v>17</v>
      </c>
      <c r="D24" t="s">
        <v>177</v>
      </c>
    </row>
    <row r="25" spans="1:4">
      <c r="A25" s="14" t="s">
        <v>178</v>
      </c>
      <c r="B25">
        <v>45297</v>
      </c>
      <c r="C25" t="s">
        <v>22</v>
      </c>
      <c r="D25" t="s">
        <v>179</v>
      </c>
    </row>
    <row r="26" spans="1:4">
      <c r="A26" s="14" t="s">
        <v>178</v>
      </c>
      <c r="B26">
        <v>45298</v>
      </c>
      <c r="C26" t="s">
        <v>17</v>
      </c>
      <c r="D26" t="s">
        <v>180</v>
      </c>
    </row>
    <row r="27" spans="1:4">
      <c r="A27" s="14" t="s">
        <v>111</v>
      </c>
      <c r="B27">
        <v>45299</v>
      </c>
      <c r="C27" t="s">
        <v>19</v>
      </c>
      <c r="D27" t="s">
        <v>181</v>
      </c>
    </row>
    <row r="28" spans="1:4">
      <c r="A28" s="14" t="s">
        <v>114</v>
      </c>
      <c r="B28">
        <v>45306</v>
      </c>
      <c r="C28" t="s">
        <v>23</v>
      </c>
      <c r="D28" t="s">
        <v>182</v>
      </c>
    </row>
    <row r="29" spans="1:4">
      <c r="A29" s="14" t="s">
        <v>114</v>
      </c>
      <c r="B29">
        <v>45333</v>
      </c>
      <c r="C29" t="s">
        <v>23</v>
      </c>
      <c r="D29" t="s">
        <v>183</v>
      </c>
    </row>
    <row r="30" spans="1:4">
      <c r="A30" s="14" t="s">
        <v>117</v>
      </c>
      <c r="B30">
        <v>45339</v>
      </c>
      <c r="C30" t="s">
        <v>20</v>
      </c>
      <c r="D30" t="s">
        <v>184</v>
      </c>
    </row>
    <row r="31" spans="1:4">
      <c r="A31" s="14" t="s">
        <v>120</v>
      </c>
      <c r="B31">
        <v>45341</v>
      </c>
      <c r="C31" t="s">
        <v>20</v>
      </c>
      <c r="D31" t="s">
        <v>185</v>
      </c>
    </row>
    <row r="32" spans="1:4">
      <c r="A32" s="14" t="s">
        <v>120</v>
      </c>
      <c r="B32">
        <v>45371</v>
      </c>
      <c r="C32" t="s">
        <v>23</v>
      </c>
      <c r="D32" t="s">
        <v>186</v>
      </c>
    </row>
    <row r="33" spans="1:4">
      <c r="A33" s="14" t="s">
        <v>120</v>
      </c>
      <c r="B33">
        <v>45372</v>
      </c>
      <c r="C33" t="s">
        <v>17</v>
      </c>
      <c r="D33" t="s">
        <v>187</v>
      </c>
    </row>
    <row r="34" spans="1:4">
      <c r="A34" s="14" t="s">
        <v>125</v>
      </c>
      <c r="B34">
        <v>42887</v>
      </c>
      <c r="C34" t="s">
        <v>188</v>
      </c>
      <c r="D34" t="s">
        <v>189</v>
      </c>
    </row>
    <row r="35" spans="1:4">
      <c r="A35" s="14" t="s">
        <v>125</v>
      </c>
      <c r="B35">
        <v>42903</v>
      </c>
      <c r="C35" t="s">
        <v>188</v>
      </c>
      <c r="D35" t="s">
        <v>190</v>
      </c>
    </row>
    <row r="36" spans="1:4">
      <c r="A36" s="14" t="s">
        <v>131</v>
      </c>
      <c r="B36">
        <v>43001</v>
      </c>
      <c r="C36" t="s">
        <v>188</v>
      </c>
      <c r="D36" t="s">
        <v>191</v>
      </c>
    </row>
    <row r="37" spans="1:4">
      <c r="A37" s="14" t="s">
        <v>134</v>
      </c>
      <c r="B37">
        <v>43081</v>
      </c>
      <c r="C37" t="s">
        <v>12</v>
      </c>
      <c r="D37" t="s">
        <v>192</v>
      </c>
    </row>
    <row r="38" spans="1:4">
      <c r="A38" s="14" t="s">
        <v>134</v>
      </c>
      <c r="B38">
        <v>43090</v>
      </c>
      <c r="C38" t="s">
        <v>10</v>
      </c>
      <c r="D38" t="s">
        <v>193</v>
      </c>
    </row>
    <row r="39" spans="1:4">
      <c r="A39" s="14" t="s">
        <v>134</v>
      </c>
      <c r="B39">
        <v>43115</v>
      </c>
      <c r="C39" t="s">
        <v>10</v>
      </c>
      <c r="D39" t="s">
        <v>194</v>
      </c>
    </row>
    <row r="40" spans="1:4">
      <c r="A40" s="14" t="s">
        <v>134</v>
      </c>
      <c r="B40">
        <v>43165</v>
      </c>
      <c r="C40" t="s">
        <v>16</v>
      </c>
      <c r="D40" t="s">
        <v>195</v>
      </c>
    </row>
    <row r="41" spans="1:4">
      <c r="A41" s="14" t="s">
        <v>134</v>
      </c>
      <c r="B41">
        <v>43166</v>
      </c>
      <c r="C41" t="s">
        <v>15</v>
      </c>
      <c r="D41" t="s">
        <v>196</v>
      </c>
    </row>
    <row r="42" spans="1:4">
      <c r="A42" s="14" t="s">
        <v>134</v>
      </c>
      <c r="B42">
        <v>43202</v>
      </c>
      <c r="C42" t="s">
        <v>188</v>
      </c>
      <c r="D42" t="s">
        <v>197</v>
      </c>
    </row>
    <row r="43" spans="1:4">
      <c r="A43" s="14" t="s">
        <v>134</v>
      </c>
      <c r="B43">
        <v>43207</v>
      </c>
      <c r="C43" t="s">
        <v>188</v>
      </c>
      <c r="D43" t="s">
        <v>198</v>
      </c>
    </row>
    <row r="44" spans="1:4">
      <c r="A44" s="14" t="s">
        <v>146</v>
      </c>
      <c r="B44">
        <v>43227</v>
      </c>
      <c r="C44" t="s">
        <v>188</v>
      </c>
      <c r="D44" t="s">
        <v>199</v>
      </c>
    </row>
    <row r="45" spans="1:4">
      <c r="A45" s="14" t="s">
        <v>149</v>
      </c>
      <c r="B45">
        <v>43239</v>
      </c>
      <c r="C45" t="s">
        <v>188</v>
      </c>
      <c r="D45" t="s">
        <v>200</v>
      </c>
    </row>
  </sheetData>
  <autoFilter ref="A1:D45" xr:uid="{00000000-0009-0000-0000-000003000000}"/>
  <conditionalFormatting sqref="B2:B45">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
  <sheetViews>
    <sheetView workbookViewId="0">
      <selection activeCell="E10" sqref="E10"/>
    </sheetView>
  </sheetViews>
  <sheetFormatPr defaultRowHeight="15"/>
  <cols>
    <col min="1" max="1" width="20.7109375" bestFit="1" customWidth="1"/>
    <col min="2" max="2" width="28.5703125" customWidth="1"/>
    <col min="3" max="3" width="20.5703125" customWidth="1"/>
  </cols>
  <sheetData>
    <row r="1" spans="1:3">
      <c r="A1" s="4" t="s">
        <v>201</v>
      </c>
      <c r="B1" s="3"/>
      <c r="C1" s="3"/>
    </row>
    <row r="2" spans="1:3" ht="45">
      <c r="A2" s="5" t="s">
        <v>202</v>
      </c>
      <c r="B2" s="6">
        <v>20000</v>
      </c>
      <c r="C2" s="3"/>
    </row>
    <row r="3" spans="1:3">
      <c r="A3" s="3" t="s">
        <v>203</v>
      </c>
      <c r="B3" s="6">
        <v>4000</v>
      </c>
      <c r="C3" s="3"/>
    </row>
    <row r="4" spans="1:3" ht="30">
      <c r="A4" s="5" t="s">
        <v>204</v>
      </c>
      <c r="B4" s="7" t="s">
        <v>205</v>
      </c>
      <c r="C4" s="3"/>
    </row>
    <row r="5" spans="1:3" ht="30">
      <c r="A5" s="5" t="s">
        <v>206</v>
      </c>
      <c r="B5" s="7" t="s">
        <v>207</v>
      </c>
      <c r="C5" s="8" t="s">
        <v>208</v>
      </c>
    </row>
    <row r="7" spans="1:3">
      <c r="A7" s="9" t="s">
        <v>209</v>
      </c>
    </row>
    <row r="8" spans="1:3" ht="30">
      <c r="A8" s="9" t="s">
        <v>210</v>
      </c>
      <c r="B8" t="s">
        <v>211</v>
      </c>
    </row>
    <row r="9" spans="1:3" ht="30">
      <c r="A9" s="9" t="s">
        <v>212</v>
      </c>
      <c r="B9" t="s">
        <v>211</v>
      </c>
    </row>
    <row r="10" spans="1:3" ht="30">
      <c r="A10" s="9" t="s">
        <v>213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61A86-F03F-4816-9F32-56D701804131}">
  <dimension ref="A1"/>
  <sheetViews>
    <sheetView workbookViewId="0">
      <selection activeCell="A6" sqref="A6"/>
    </sheetView>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95eec52f-5dbf-4cb0-b84a-c18c531d2e19" xsi:nil="true"/>
    <_ip_UnifiedCompliancePolicyProperties xmlns="http://schemas.microsoft.com/sharepoint/v3" xsi:nil="true"/>
    <lcf76f155ced4ddcb4097134ff3c332f xmlns="4db6bfc8-de53-429a-8679-291947c2023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3582D19D92B8649AAB8A7DF5C50C21E" ma:contentTypeVersion="19" ma:contentTypeDescription="Create a new document." ma:contentTypeScope="" ma:versionID="72b276f9324a2468c65dddb8f9b89703">
  <xsd:schema xmlns:xsd="http://www.w3.org/2001/XMLSchema" xmlns:xs="http://www.w3.org/2001/XMLSchema" xmlns:p="http://schemas.microsoft.com/office/2006/metadata/properties" xmlns:ns1="http://schemas.microsoft.com/sharepoint/v3" xmlns:ns2="4db6bfc8-de53-429a-8679-291947c20233" xmlns:ns3="95eec52f-5dbf-4cb0-b84a-c18c531d2e19" targetNamespace="http://schemas.microsoft.com/office/2006/metadata/properties" ma:root="true" ma:fieldsID="5da719711a7ddac23ba473932a5b5c66" ns1:_="" ns2:_="" ns3:_="">
    <xsd:import namespace="http://schemas.microsoft.com/sharepoint/v3"/>
    <xsd:import namespace="4db6bfc8-de53-429a-8679-291947c20233"/>
    <xsd:import namespace="95eec52f-5dbf-4cb0-b84a-c18c531d2e1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GenerationTime" minOccurs="0"/>
                <xsd:element ref="ns2:MediaServiceEventHashCode" minOccurs="0"/>
                <xsd:element ref="ns2:MediaServiceSearchProperties" minOccurs="0"/>
                <xsd:element ref="ns1:_ip_UnifiedCompliancePolicyProperties" minOccurs="0"/>
                <xsd:element ref="ns1:_ip_UnifiedCompliancePolicyUIAc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db6bfc8-de53-429a-8679-291947c2023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ed3e4621-623b-40d1-b75d-966d17a4497d" ma:termSetId="09814cd3-568e-fe90-9814-8d621ff8fb84" ma:anchorId="fba54fb3-c3e1-fe81-a776-ca4b69148c4d" ma:open="true" ma:isKeyword="false">
      <xsd:complexType>
        <xsd:sequence>
          <xsd:element ref="pc:Terms" minOccurs="0" maxOccurs="1"/>
        </xsd:sequence>
      </xsd:complexType>
    </xsd:element>
    <xsd:element name="MediaServiceOCR" ma:index="25"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5eec52f-5dbf-4cb0-b84a-c18c531d2e19"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d52c7a0-576e-44f5-8d5d-af7ca9a4e831}" ma:internalName="TaxCatchAll" ma:showField="CatchAllData" ma:web="95eec52f-5dbf-4cb0-b84a-c18c531d2e1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0263589-D857-4001-91D8-AAB3F39616B8}"/>
</file>

<file path=customXml/itemProps2.xml><?xml version="1.0" encoding="utf-8"?>
<ds:datastoreItem xmlns:ds="http://schemas.openxmlformats.org/officeDocument/2006/customXml" ds:itemID="{02B7757C-AD3B-44BA-8575-D9A7FA3FFDC7}"/>
</file>

<file path=customXml/itemProps3.xml><?xml version="1.0" encoding="utf-8"?>
<ds:datastoreItem xmlns:ds="http://schemas.openxmlformats.org/officeDocument/2006/customXml" ds:itemID="{77CFF3AB-0AB8-4AF0-A2D5-8D998F3A04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Neha Kottawar</cp:lastModifiedBy>
  <cp:revision/>
  <dcterms:created xsi:type="dcterms:W3CDTF">2015-06-05T18:17:20Z</dcterms:created>
  <dcterms:modified xsi:type="dcterms:W3CDTF">2025-04-28T13:46:43Z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0x01010033582D19D92B8649AAB8A7DF5C50C21E</vt:lpwstr>
  </property>
  <property fmtid="{D5CDD505-2E9C-101B-9397-08002B2CF9AE}" pid="3" name="MediaServiceImageTags">
    <vt:lpwstr/>
  </property>
</Properties>
</file>